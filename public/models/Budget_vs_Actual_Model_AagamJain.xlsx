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1" activeTab="1" autoFilterDateGrouping="1"/>
  </bookViews>
  <sheets>
    <sheet xmlns:r="http://schemas.openxmlformats.org/officeDocument/2006/relationships" name="Overall_MONTHLY_SALES" sheetId="1" state="hidden" r:id="rId1"/>
    <sheet xmlns:r="http://schemas.openxmlformats.org/officeDocument/2006/relationships" name="Categorywise_Variance" sheetId="2" state="visible" r:id="rId2"/>
    <sheet xmlns:r="http://schemas.openxmlformats.org/officeDocument/2006/relationships" name="Dashboard" sheetId="3" state="visible" r:id="rId3"/>
    <sheet xmlns:r="http://schemas.openxmlformats.org/officeDocument/2006/relationships" name="YTM_Dashboard" sheetId="4" state="visible" r:id="rId4"/>
    <sheet xmlns:r="http://schemas.openxmlformats.org/officeDocument/2006/relationships" name="Analysis" sheetId="5" state="visible" r:id="rId5"/>
    <sheet xmlns:r="http://schemas.openxmlformats.org/officeDocument/2006/relationships" name="QTY_SOLD_BudVSAct_OVERALL" sheetId="6" state="hidden" r:id="rId6"/>
    <sheet xmlns:r="http://schemas.openxmlformats.org/officeDocument/2006/relationships" name="QTY_SOLD_BudVSAct_Marketwise" sheetId="7" state="hidden" r:id="rId7"/>
  </sheets>
  <definedNames/>
  <calcPr calcId="124519" fullCalcOnLoad="1" refMode="A1" iterate="0" iterateCount="100" iterateDelta="0.001"/>
</workbook>
</file>

<file path=xl/styles.xml><?xml version="1.0" encoding="utf-8"?>
<styleSheet xmlns="http://schemas.openxmlformats.org/spreadsheetml/2006/main">
  <numFmts count="0"/>
  <fonts count="12">
    <font>
      <name val="Calibri"/>
      <family val="0"/>
      <color rgb="FF000000"/>
      <sz val="11"/>
    </font>
    <font>
      <name val="Arial"/>
      <family val="0"/>
      <sz val="10"/>
    </font>
    <font>
      <name val="Arial"/>
      <family val="0"/>
      <sz val="10"/>
    </font>
    <font>
      <name val="Arial"/>
      <family val="0"/>
      <sz val="10"/>
    </font>
    <font>
      <name val="Calibri"/>
      <family val="0"/>
      <b val="1"/>
      <color rgb="FF000000"/>
      <sz val="11"/>
    </font>
    <font>
      <name val="Calibri"/>
      <family val="2"/>
      <b val="1"/>
      <color rgb="FF7F7F7F"/>
      <sz val="18"/>
    </font>
    <font>
      <name val="Calibri"/>
      <family val="2"/>
      <color rgb="FF595959"/>
      <sz val="9"/>
    </font>
    <font>
      <name val="Calibri"/>
      <family val="0"/>
      <color rgb="FF002060"/>
      <sz val="11"/>
    </font>
    <font>
      <name val="Calibri"/>
      <family val="0"/>
      <color rgb="FFFFFFFF"/>
      <sz val="11"/>
    </font>
    <font>
      <name val="Calibri"/>
      <family val="0"/>
      <b val="1"/>
      <color rgb="FF000000"/>
      <sz val="14"/>
    </font>
    <font>
      <name val="Calibri"/>
      <family val="2"/>
      <b val="1"/>
      <color rgb="FF595959"/>
      <sz val="9"/>
    </font>
    <font>
      <name val="Calibri"/>
      <family val="0"/>
      <b val="1"/>
      <color rgb="FF000000"/>
      <sz val="18"/>
    </font>
  </fonts>
  <fills count="11">
    <fill>
      <patternFill/>
    </fill>
    <fill>
      <patternFill patternType="gray125"/>
    </fill>
    <fill>
      <patternFill patternType="solid">
        <fgColor rgb="FF993300"/>
        <bgColor rgb="FF833C0C"/>
      </patternFill>
    </fill>
    <fill>
      <patternFill patternType="solid">
        <fgColor rgb="FFFF3399"/>
        <bgColor rgb="FFFF0066"/>
      </patternFill>
    </fill>
    <fill>
      <patternFill patternType="solid">
        <fgColor rgb="FFFF0066"/>
        <bgColor rgb="FFFF3399"/>
      </patternFill>
    </fill>
    <fill>
      <patternFill patternType="solid">
        <fgColor rgb="FFD9E1F2"/>
        <bgColor rgb="FFDDEBF7"/>
      </patternFill>
    </fill>
    <fill>
      <patternFill patternType="solid">
        <fgColor rgb="FF833C0C"/>
        <bgColor rgb="FF993300"/>
      </patternFill>
    </fill>
    <fill>
      <patternFill patternType="solid">
        <fgColor rgb="FFA90F1A"/>
        <bgColor rgb="FF800000"/>
      </patternFill>
    </fill>
    <fill>
      <patternFill patternType="solid">
        <fgColor rgb="FF8F5780"/>
        <bgColor rgb="FF7F7F7F"/>
      </patternFill>
    </fill>
    <fill>
      <patternFill patternType="solid">
        <fgColor rgb="FFFFFFFF"/>
        <bgColor rgb="FFFFFFCC"/>
      </patternFill>
    </fill>
    <fill>
      <patternFill patternType="solid">
        <fgColor rgb="FFDDEBF7"/>
        <bgColor rgb="FFD9E1F2"/>
      </patternFill>
    </fill>
  </fills>
  <borders count="9">
    <border>
      <left/>
      <right/>
      <top/>
      <bottom/>
      <diagonal/>
    </border>
    <border>
      <left style="hair"/>
      <right style="hair"/>
      <top style="hair"/>
      <bottom style="hair"/>
      <diagonal/>
    </border>
    <border>
      <left/>
      <right/>
      <top style="hair"/>
      <bottom/>
      <diagonal/>
    </border>
    <border>
      <left/>
      <right style="hair"/>
      <top style="hair"/>
      <bottom/>
      <diagonal/>
    </border>
    <border>
      <left/>
      <right/>
      <top style="hair"/>
      <bottom style="hair"/>
      <diagonal/>
    </border>
    <border>
      <left/>
      <right style="hair"/>
      <top style="hair"/>
      <bottom style="hair"/>
      <diagonal/>
    </border>
    <border>
      <left style="hair"/>
      <right/>
      <top/>
      <bottom/>
      <diagonal/>
    </border>
    <border>
      <left style="hair"/>
      <right style="hair"/>
      <top/>
      <bottom/>
      <diagonal/>
    </border>
    <border>
      <left style="hair"/>
      <right style="hair"/>
      <top/>
      <bottom style="hair"/>
      <diagonal/>
    </border>
  </borders>
  <cellStyleXfs count="13">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0" fillId="2" borderId="0" applyAlignment="1">
      <alignment horizontal="general" vertical="bottom"/>
    </xf>
    <xf numFmtId="0" fontId="0" fillId="3" borderId="0" applyAlignment="1">
      <alignment horizontal="general" vertical="bottom"/>
    </xf>
    <xf numFmtId="0" fontId="0" fillId="4" borderId="0" applyAlignment="1">
      <alignment horizontal="general" vertical="bottom"/>
    </xf>
    <xf numFmtId="0" fontId="0" fillId="5" borderId="0" applyAlignment="1">
      <alignment horizontal="general" vertical="bottom"/>
    </xf>
    <xf numFmtId="0" fontId="0" fillId="6" borderId="0" applyAlignment="1">
      <alignment horizontal="general" vertical="bottom"/>
    </xf>
    <xf numFmtId="0" fontId="0" fillId="7" borderId="0" applyAlignment="1">
      <alignment horizontal="general" vertical="bottom"/>
    </xf>
    <xf numFmtId="0" fontId="0" fillId="8" borderId="0" applyAlignment="1">
      <alignment horizontal="general" vertical="bottom"/>
    </xf>
  </cellStyleXfs>
  <cellXfs count="76">
    <xf numFmtId="0" fontId="0" fillId="0" borderId="0" applyAlignment="1" pivotButton="0" quotePrefix="0" xfId="0">
      <alignment horizontal="general" vertical="bottom"/>
    </xf>
    <xf numFmtId="0" fontId="0" fillId="9" borderId="0" applyAlignment="1" pivotButton="0" quotePrefix="0" xfId="0">
      <alignment horizontal="general" vertical="bottom"/>
    </xf>
    <xf numFmtId="0" fontId="4" fillId="9" borderId="1" applyAlignment="1" pivotButton="0" quotePrefix="0" xfId="0">
      <alignment horizontal="general" vertical="bottom"/>
    </xf>
    <xf numFmtId="2" fontId="0" fillId="9" borderId="1" applyAlignment="1" pivotButton="0" quotePrefix="0" xfId="0">
      <alignment horizontal="general" vertical="bottom"/>
    </xf>
    <xf numFmtId="9" fontId="0" fillId="9" borderId="1" applyAlignment="1" pivotButton="0" quotePrefix="0" xfId="27">
      <alignment horizontal="general" vertical="bottom"/>
    </xf>
    <xf numFmtId="2" fontId="4" fillId="9" borderId="1" applyAlignment="1" pivotButton="0" quotePrefix="0" xfId="0">
      <alignment horizontal="general" vertical="bottom"/>
    </xf>
    <xf numFmtId="9" fontId="4" fillId="9" borderId="1" applyAlignment="1" pivotButton="0" quotePrefix="0" xfId="27">
      <alignment horizontal="general" vertical="bottom"/>
    </xf>
    <xf numFmtId="0" fontId="4" fillId="9" borderId="1" applyAlignment="1" pivotButton="0" quotePrefix="0" xfId="0">
      <alignment horizontal="center" vertical="bottom"/>
    </xf>
    <xf numFmtId="0" fontId="0" fillId="9" borderId="1" applyAlignment="1" pivotButton="0" quotePrefix="0" xfId="0">
      <alignment horizontal="general" vertical="bottom"/>
    </xf>
    <xf numFmtId="2" fontId="7" fillId="9" borderId="1" applyAlignment="1" pivotButton="0" quotePrefix="0" xfId="0">
      <alignment horizontal="general" vertical="bottom"/>
    </xf>
    <xf numFmtId="2" fontId="8" fillId="9" borderId="1" applyAlignment="1" pivotButton="0" quotePrefix="0" xfId="0">
      <alignment horizontal="general" vertical="bottom"/>
    </xf>
    <xf numFmtId="2" fontId="7" fillId="0" borderId="1" applyAlignment="1" pivotButton="0" quotePrefix="0" xfId="0">
      <alignment horizontal="general" vertical="bottom"/>
    </xf>
    <xf numFmtId="0" fontId="4" fillId="9" borderId="0" applyAlignment="1" pivotButton="0" quotePrefix="0" xfId="0">
      <alignment horizontal="general" vertical="bottom"/>
    </xf>
    <xf numFmtId="0" fontId="9" fillId="9" borderId="0" applyAlignment="1" pivotButton="0" quotePrefix="0" xfId="0">
      <alignment horizontal="general" vertical="bottom"/>
    </xf>
    <xf numFmtId="0" fontId="4" fillId="9" borderId="1" applyAlignment="1" pivotButton="0" quotePrefix="0" xfId="0">
      <alignment horizontal="general" vertical="bottom" wrapText="1"/>
    </xf>
    <xf numFmtId="0" fontId="11" fillId="9" borderId="0" applyAlignment="1" pivotButton="0" quotePrefix="0" xfId="0">
      <alignment horizontal="general" vertical="bottom"/>
    </xf>
    <xf numFmtId="0" fontId="4" fillId="0" borderId="1" applyAlignment="1" pivotButton="0" quotePrefix="0" xfId="0">
      <alignment horizontal="general" vertical="bottom"/>
    </xf>
    <xf numFmtId="2" fontId="0" fillId="0" borderId="1" applyAlignment="1" pivotButton="0" quotePrefix="0" xfId="0">
      <alignment horizontal="general" vertical="bottom"/>
    </xf>
    <xf numFmtId="9" fontId="0" fillId="0" borderId="1" applyAlignment="1" pivotButton="0" quotePrefix="0" xfId="27">
      <alignment horizontal="general" vertical="bottom"/>
    </xf>
    <xf numFmtId="0" fontId="4" fillId="10" borderId="1" applyAlignment="1" pivotButton="0" quotePrefix="0" xfId="0">
      <alignment horizontal="general" vertical="bottom"/>
    </xf>
    <xf numFmtId="2" fontId="4" fillId="10" borderId="1" applyAlignment="1" pivotButton="0" quotePrefix="0" xfId="0">
      <alignment horizontal="general" vertical="bottom"/>
    </xf>
    <xf numFmtId="9" fontId="4" fillId="10" borderId="1" applyAlignment="1" pivotButton="0" quotePrefix="0" xfId="27">
      <alignment horizontal="general" vertical="bottom"/>
    </xf>
    <xf numFmtId="0" fontId="11" fillId="9" borderId="0" applyAlignment="1" pivotButton="0" quotePrefix="0" xfId="0">
      <alignment horizontal="general" vertical="center"/>
    </xf>
    <xf numFmtId="0" fontId="0" fillId="9" borderId="0" applyAlignment="1" pivotButton="0" quotePrefix="0" xfId="0">
      <alignment horizontal="left" vertical="center" indent="1"/>
    </xf>
    <xf numFmtId="2" fontId="4" fillId="9" borderId="0" applyAlignment="1" pivotButton="0" quotePrefix="0" xfId="0">
      <alignment horizontal="general" vertical="bottom"/>
    </xf>
    <xf numFmtId="9" fontId="4" fillId="9" borderId="0" applyAlignment="1" pivotButton="0" quotePrefix="0" xfId="0">
      <alignment horizontal="general" vertical="bottom"/>
    </xf>
    <xf numFmtId="0" fontId="4" fillId="9" borderId="0" applyAlignment="1" pivotButton="0" quotePrefix="0" xfId="0">
      <alignment horizontal="left" vertical="center" indent="1"/>
    </xf>
    <xf numFmtId="0" fontId="0" fillId="10" borderId="1" applyAlignment="1" pivotButton="0" quotePrefix="0" xfId="0">
      <alignment horizontal="center" vertical="bottom"/>
    </xf>
    <xf numFmtId="1" fontId="0" fillId="9" borderId="1" applyAlignment="1" pivotButton="0" quotePrefix="0" xfId="0">
      <alignment horizontal="general" vertical="bottom"/>
    </xf>
    <xf numFmtId="0" fontId="0" fillId="0" borderId="1" applyAlignment="1" pivotButton="0" quotePrefix="0" xfId="0">
      <alignment horizontal="general" vertical="bottom"/>
    </xf>
    <xf numFmtId="1" fontId="8" fillId="9" borderId="1" applyAlignment="1" pivotButton="0" quotePrefix="0" xfId="0">
      <alignment horizontal="general" vertical="bottom"/>
    </xf>
    <xf numFmtId="1" fontId="4" fillId="10" borderId="1" applyAlignment="1" pivotButton="0" quotePrefix="0" xfId="0">
      <alignment horizontal="general" vertical="bottom"/>
    </xf>
    <xf numFmtId="0" fontId="8" fillId="9" borderId="0" applyAlignment="1" pivotButton="0" quotePrefix="0" xfId="0">
      <alignment horizontal="general" vertical="bottom"/>
    </xf>
    <xf numFmtId="0" fontId="9" fillId="10" borderId="1" applyAlignment="1" pivotButton="0" quotePrefix="0" xfId="0">
      <alignment horizontal="center" vertical="center" textRotation="90"/>
    </xf>
    <xf numFmtId="0" fontId="4" fillId="10" borderId="1" applyAlignment="1" pivotButton="0" quotePrefix="0" xfId="0">
      <alignment horizontal="center" vertical="bottom"/>
    </xf>
    <xf numFmtId="0" fontId="4" fillId="10" borderId="0" applyAlignment="1" pivotButton="0" quotePrefix="0" xfId="0">
      <alignment horizontal="center" vertical="bottom"/>
    </xf>
    <xf numFmtId="0" fontId="8" fillId="9" borderId="1" applyAlignment="1" pivotButton="0" quotePrefix="0" xfId="0">
      <alignment horizontal="general" vertical="bottom"/>
    </xf>
    <xf numFmtId="9" fontId="0" fillId="10" borderId="1" applyAlignment="1" pivotButton="0" quotePrefix="0" xfId="27">
      <alignment horizontal="general" vertical="bottom"/>
    </xf>
    <xf numFmtId="0" fontId="0" fillId="9" borderId="0" applyAlignment="1" pivotButton="0" quotePrefix="0" xfId="0">
      <alignment horizontal="general" vertical="bottom"/>
    </xf>
    <xf numFmtId="0" fontId="0" fillId="0" borderId="0" pivotButton="0" quotePrefix="0" xfId="0"/>
    <xf numFmtId="0" fontId="4" fillId="9" borderId="1" applyAlignment="1" pivotButton="0" quotePrefix="0" xfId="0">
      <alignment horizontal="general" vertical="bottom"/>
    </xf>
    <xf numFmtId="2" fontId="0" fillId="9" borderId="1" applyAlignment="1" pivotButton="0" quotePrefix="0" xfId="0">
      <alignment horizontal="general" vertical="bottom"/>
    </xf>
    <xf numFmtId="9" fontId="0" fillId="9" borderId="1" applyAlignment="1" pivotButton="0" quotePrefix="0" xfId="27">
      <alignment horizontal="general" vertical="bottom"/>
    </xf>
    <xf numFmtId="2" fontId="4" fillId="9" borderId="1" applyAlignment="1" pivotButton="0" quotePrefix="0" xfId="0">
      <alignment horizontal="general" vertical="bottom"/>
    </xf>
    <xf numFmtId="9" fontId="4" fillId="9" borderId="1" applyAlignment="1" pivotButton="0" quotePrefix="0" xfId="27">
      <alignment horizontal="general" vertical="bottom"/>
    </xf>
    <xf numFmtId="0" fontId="4" fillId="9" borderId="1" applyAlignment="1" pivotButton="0" quotePrefix="0" xfId="0">
      <alignment horizontal="center" vertical="bottom"/>
    </xf>
    <xf numFmtId="0" fontId="0" fillId="0" borderId="4" pivotButton="0" quotePrefix="0" xfId="0"/>
    <xf numFmtId="0" fontId="0" fillId="0" borderId="5" pivotButton="0" quotePrefix="0" xfId="0"/>
    <xf numFmtId="0" fontId="0" fillId="9" borderId="1" applyAlignment="1" pivotButton="0" quotePrefix="0" xfId="0">
      <alignment horizontal="general" vertical="bottom"/>
    </xf>
    <xf numFmtId="2" fontId="7" fillId="9" borderId="1" applyAlignment="1" pivotButton="0" quotePrefix="0" xfId="0">
      <alignment horizontal="general" vertical="bottom"/>
    </xf>
    <xf numFmtId="2" fontId="8" fillId="9" borderId="1" applyAlignment="1" pivotButton="0" quotePrefix="0" xfId="0">
      <alignment horizontal="general" vertical="bottom"/>
    </xf>
    <xf numFmtId="2" fontId="7" fillId="0" borderId="1" applyAlignment="1" pivotButton="0" quotePrefix="0" xfId="0">
      <alignment horizontal="general" vertical="bottom"/>
    </xf>
    <xf numFmtId="0" fontId="4" fillId="9" borderId="0" applyAlignment="1" pivotButton="0" quotePrefix="0" xfId="0">
      <alignment horizontal="general" vertical="bottom"/>
    </xf>
    <xf numFmtId="0" fontId="9" fillId="9" borderId="0" applyAlignment="1" pivotButton="0" quotePrefix="0" xfId="0">
      <alignment horizontal="general" vertical="bottom"/>
    </xf>
    <xf numFmtId="0" fontId="4" fillId="9" borderId="1" applyAlignment="1" pivotButton="0" quotePrefix="0" xfId="0">
      <alignment horizontal="general" vertical="bottom" wrapText="1"/>
    </xf>
    <xf numFmtId="0" fontId="11" fillId="9" borderId="0" applyAlignment="1" pivotButton="0" quotePrefix="0" xfId="0">
      <alignment horizontal="general" vertical="bottom"/>
    </xf>
    <xf numFmtId="0" fontId="4" fillId="0" borderId="1" applyAlignment="1" pivotButton="0" quotePrefix="0" xfId="0">
      <alignment horizontal="general" vertical="bottom"/>
    </xf>
    <xf numFmtId="2" fontId="0" fillId="0" borderId="1" applyAlignment="1" pivotButton="0" quotePrefix="0" xfId="0">
      <alignment horizontal="general" vertical="bottom"/>
    </xf>
    <xf numFmtId="9" fontId="0" fillId="0" borderId="1" applyAlignment="1" pivotButton="0" quotePrefix="0" xfId="27">
      <alignment horizontal="general" vertical="bottom"/>
    </xf>
    <xf numFmtId="0" fontId="4" fillId="10" borderId="1" applyAlignment="1" pivotButton="0" quotePrefix="0" xfId="0">
      <alignment horizontal="general" vertical="bottom"/>
    </xf>
    <xf numFmtId="2" fontId="4" fillId="10" borderId="1" applyAlignment="1" pivotButton="0" quotePrefix="0" xfId="0">
      <alignment horizontal="general" vertical="bottom"/>
    </xf>
    <xf numFmtId="9" fontId="4" fillId="10" borderId="1" applyAlignment="1" pivotButton="0" quotePrefix="0" xfId="27">
      <alignment horizontal="general" vertical="bottom"/>
    </xf>
    <xf numFmtId="0" fontId="11" fillId="9" borderId="0" applyAlignment="1" pivotButton="0" quotePrefix="0" xfId="0">
      <alignment horizontal="general" vertical="center"/>
    </xf>
    <xf numFmtId="0" fontId="0" fillId="9" borderId="0" applyAlignment="1" pivotButton="0" quotePrefix="0" xfId="0">
      <alignment horizontal="left" vertical="center" indent="1"/>
    </xf>
    <xf numFmtId="2" fontId="4" fillId="9" borderId="0" applyAlignment="1" pivotButton="0" quotePrefix="0" xfId="0">
      <alignment horizontal="general" vertical="bottom"/>
    </xf>
    <xf numFmtId="9" fontId="4" fillId="9" borderId="0" applyAlignment="1" pivotButton="0" quotePrefix="0" xfId="0">
      <alignment horizontal="general" vertical="bottom"/>
    </xf>
    <xf numFmtId="0" fontId="4" fillId="9" borderId="0" applyAlignment="1" pivotButton="0" quotePrefix="0" xfId="0">
      <alignment horizontal="left" vertical="center" indent="1"/>
    </xf>
    <xf numFmtId="0" fontId="0" fillId="10" borderId="1" applyAlignment="1" pivotButton="0" quotePrefix="0" xfId="0">
      <alignment horizontal="center" vertical="bottom"/>
    </xf>
    <xf numFmtId="1" fontId="0" fillId="9" borderId="1" applyAlignment="1" pivotButton="0" quotePrefix="0" xfId="0">
      <alignment horizontal="general" vertical="bottom"/>
    </xf>
    <xf numFmtId="0" fontId="0" fillId="0" borderId="1" applyAlignment="1" pivotButton="0" quotePrefix="0" xfId="0">
      <alignment horizontal="general" vertical="bottom"/>
    </xf>
    <xf numFmtId="1" fontId="8" fillId="9" borderId="1" applyAlignment="1" pivotButton="0" quotePrefix="0" xfId="0">
      <alignment horizontal="general" vertical="bottom"/>
    </xf>
    <xf numFmtId="1" fontId="4" fillId="10" borderId="1" applyAlignment="1" pivotButton="0" quotePrefix="0" xfId="0">
      <alignment horizontal="general" vertical="bottom"/>
    </xf>
    <xf numFmtId="0" fontId="8" fillId="9" borderId="0" applyAlignment="1" pivotButton="0" quotePrefix="0" xfId="0">
      <alignment horizontal="general" vertical="bottom"/>
    </xf>
    <xf numFmtId="0" fontId="9" fillId="10" borderId="1" applyAlignment="1" pivotButton="0" quotePrefix="0" xfId="0">
      <alignment horizontal="center" vertical="center" textRotation="90"/>
    </xf>
    <xf numFmtId="0" fontId="0" fillId="0" borderId="7" pivotButton="0" quotePrefix="0" xfId="0"/>
    <xf numFmtId="0" fontId="0" fillId="0" borderId="8" pivotButton="0" quotePrefix="0" xfId="0"/>
  </cellXfs>
  <cellStyles count="13">
    <cellStyle name="Normal" xfId="0" builtinId="0"/>
    <cellStyle name="Comma" xfId="1" builtinId="3"/>
    <cellStyle name="Comma [0]" xfId="2" builtinId="6"/>
    <cellStyle name="Currency" xfId="3" builtinId="4"/>
    <cellStyle name="Currency [0]" xfId="4" builtinId="7"/>
    <cellStyle name="Percent" xfId="5" builtinId="5"/>
    <cellStyle name="cf1" xfId="6"/>
    <cellStyle name="cf2" xfId="7"/>
    <cellStyle name="cf3" xfId="8"/>
    <cellStyle name="cf4" xfId="9"/>
    <cellStyle name="cf5" xfId="10"/>
    <cellStyle name="cf6" xfId="11"/>
    <cellStyle name="cf7" xfId="12"/>
  </cellStyles>
  <dxfs count="7">
    <dxf>
      <font>
        <name val="Calibri"/>
        <family val="0"/>
        <color rgb="FF000000"/>
        <sz val="11"/>
      </font>
      <numFmt numFmtId="164" formatCode="General"/>
      <fill>
        <patternFill>
          <bgColor rgb="FF8F5780"/>
        </patternFill>
      </fill>
    </dxf>
    <dxf>
      <font>
        <name val="Calibri"/>
        <family val="0"/>
        <color rgb="FF000000"/>
        <sz val="11"/>
      </font>
      <numFmt numFmtId="164" formatCode="General"/>
      <fill>
        <patternFill>
          <bgColor rgb="FFA90F1A"/>
        </patternFill>
      </fill>
    </dxf>
    <dxf>
      <font>
        <name val="Calibri"/>
        <family val="0"/>
        <color rgb="FF000000"/>
        <sz val="11"/>
      </font>
      <numFmt numFmtId="164" formatCode="General"/>
      <fill>
        <patternFill>
          <bgColor rgb="FF833C0C"/>
        </patternFill>
      </fill>
    </dxf>
    <dxf>
      <font>
        <name val="Calibri"/>
        <family val="0"/>
        <color rgb="FF000000"/>
        <sz val="11"/>
      </font>
      <numFmt numFmtId="164" formatCode="General"/>
      <fill>
        <patternFill>
          <bgColor rgb="FFD9E1F2"/>
        </patternFill>
      </fill>
    </dxf>
    <dxf>
      <font>
        <name val="Calibri"/>
        <family val="0"/>
        <color rgb="FF000000"/>
        <sz val="11"/>
      </font>
      <numFmt numFmtId="164" formatCode="General"/>
      <fill>
        <patternFill>
          <bgColor rgb="FF993300"/>
        </patternFill>
      </fill>
    </dxf>
    <dxf>
      <font>
        <name val="Calibri"/>
        <family val="0"/>
        <color rgb="FF000000"/>
        <sz val="11"/>
      </font>
      <numFmt numFmtId="164" formatCode="General"/>
      <fill>
        <patternFill>
          <bgColor rgb="FFFF3399"/>
        </patternFill>
      </fill>
    </dxf>
    <dxf>
      <font>
        <name val="Calibri"/>
        <family val="0"/>
        <color rgb="FF000000"/>
        <sz val="11"/>
      </font>
      <numFmt numFmtId="164" formatCode="General"/>
      <fill>
        <patternFill>
          <bgColor rgb="FFFF0066"/>
        </patternFill>
      </fill>
    </dxf>
  </dxfs>
  <colors>
    <indexedColors>
      <rgbColor rgb="FF000000"/>
      <rgbColor rgb="FFFFFFFF"/>
      <rgbColor rgb="FFFF0066"/>
      <rgbColor rgb="FF00FF00"/>
      <rgbColor rgb="FF0000FF"/>
      <rgbColor rgb="FFFFFF00"/>
      <rgbColor rgb="FFFF3399"/>
      <rgbColor rgb="FF00FFFF"/>
      <rgbColor rgb="FFA90F1A"/>
      <rgbColor rgb="FF008000"/>
      <rgbColor rgb="FF000080"/>
      <rgbColor rgb="FF808000"/>
      <rgbColor rgb="FF800080"/>
      <rgbColor rgb="FF008080"/>
      <rgbColor rgb="FFBFBFBF"/>
      <rgbColor rgb="FF7F7F7F"/>
      <rgbColor rgb="FF9999FF"/>
      <rgbColor rgb="FF8F5780"/>
      <rgbColor rgb="FFFFFF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1F2"/>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2060"/>
      <rgbColor rgb="FF339966"/>
      <rgbColor rgb="FF003300"/>
      <rgbColor rgb="FF333300"/>
      <rgbColor rgb="FF993300"/>
      <rgbColor rgb="FF833C0C"/>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48">
                <a:solidFill>
                  <a:srgbClr val="7f7f7f"/>
                </a:solidFill>
                <a:latin typeface="Calibri"/>
              </a:defRPr>
            </a:pPr>
            <a:r>
              <a:rPr sz="1800" b="1" strike="noStrike" spc="148">
                <a:solidFill>
                  <a:srgbClr val="7f7f7f"/>
                </a:solidFill>
                <a:latin typeface="Calibri"/>
              </a:rPr>
              <a:t>toTAL mONTHLY sALES 2026</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Overall_MONTHLY_SALES!$C$2</f>
              <strCache>
                <ptCount val="1"/>
                <pt idx="0">
                  <v>Value IN Lacs</v>
                </pt>
              </strCache>
            </strRef>
          </tx>
          <spPr>
            <a:ln xmlns:a="http://schemas.openxmlformats.org/drawingml/2006/main" w="0">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
                </a:r>
              </a:p>
            </txPr>
            <showLegendKey val="0"/>
            <showVal val="0"/>
            <showCatName val="0"/>
            <showSerName val="0"/>
            <showPercent val="0"/>
            <showLeaderLines val="1"/>
          </dLbls>
          <cat>
            <strRef>
              <f>Overall_MONTHLY_SALES!$B$3:$B$15</f>
              <strCache>
                <ptCount val="13"/>
                <pt idx="0">
                  <v>JAN</v>
                </pt>
                <pt idx="1">
                  <v>FEB</v>
                </pt>
                <pt idx="2">
                  <v>MAR</v>
                </pt>
                <pt idx="3">
                  <v>APR</v>
                </pt>
                <pt idx="4">
                  <v>MAY</v>
                </pt>
                <pt idx="5">
                  <v>JUN</v>
                </pt>
                <pt idx="6">
                  <v>JUL</v>
                </pt>
                <pt idx="7">
                  <v>AUG</v>
                </pt>
                <pt idx="8">
                  <v>SEP</v>
                </pt>
                <pt idx="9">
                  <v>OCT</v>
                </pt>
                <pt idx="10">
                  <v>NOV</v>
                </pt>
                <pt idx="11">
                  <v>DEC</v>
                </pt>
                <pt idx="12">
                  <v>Total</v>
                </pt>
              </strCache>
            </strRef>
          </cat>
          <val>
            <numRef>
              <f>Overall_MONTHLY_SALES!$C$3:$C$15</f>
              <numCache>
                <formatCode>0.00</formatCode>
                <ptCount val="13"/>
                <pt idx="0">
                  <v>238.00044555</v>
                </pt>
                <pt idx="1">
                  <v>117.975864585</v>
                </pt>
                <pt idx="12">
                  <v>355.976310135</v>
                </pt>
              </numCache>
            </numRef>
          </val>
        </ser>
        <ser>
          <idx val="1"/>
          <order val="1"/>
          <tx>
            <strRef>
              <f>Overall_MONTHLY_SALES!$D$2</f>
              <strCache>
                <ptCount val="1"/>
                <pt idx="0">
                  <v>In %</v>
                </pt>
              </strCache>
            </strRef>
          </tx>
          <spPr>
            <a:ln xmlns:a="http://schemas.openxmlformats.org/drawingml/2006/main" w="0">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
                </a:r>
              </a:p>
            </txPr>
            <showLegendKey val="0"/>
            <showVal val="0"/>
            <showCatName val="0"/>
            <showSerName val="0"/>
            <showPercent val="0"/>
            <showLeaderLines val="1"/>
          </dLbls>
          <cat>
            <strRef>
              <f>Overall_MONTHLY_SALES!$B$3:$B$15</f>
              <strCache>
                <ptCount val="13"/>
                <pt idx="0">
                  <v>JAN</v>
                </pt>
                <pt idx="1">
                  <v>FEB</v>
                </pt>
                <pt idx="2">
                  <v>MAR</v>
                </pt>
                <pt idx="3">
                  <v>APR</v>
                </pt>
                <pt idx="4">
                  <v>MAY</v>
                </pt>
                <pt idx="5">
                  <v>JUN</v>
                </pt>
                <pt idx="6">
                  <v>JUL</v>
                </pt>
                <pt idx="7">
                  <v>AUG</v>
                </pt>
                <pt idx="8">
                  <v>SEP</v>
                </pt>
                <pt idx="9">
                  <v>OCT</v>
                </pt>
                <pt idx="10">
                  <v>NOV</v>
                </pt>
                <pt idx="11">
                  <v>DEC</v>
                </pt>
                <pt idx="12">
                  <v>Total</v>
                </pt>
              </strCache>
            </strRef>
          </cat>
          <val>
            <numRef>
              <f>Overall_MONTHLY_SALES!$D$3:$D$15</f>
              <numCache>
                <formatCode>0%</formatCode>
                <ptCount val="13"/>
                <pt idx="0">
                  <v>0.668585068089899</v>
                </pt>
                <pt idx="1">
                  <v>0.331414931910101</v>
                </pt>
                <pt idx="2">
                  <v>0</v>
                </pt>
                <pt idx="3">
                  <v>0</v>
                </pt>
                <pt idx="4">
                  <v>0</v>
                </pt>
                <pt idx="5">
                  <v>0</v>
                </pt>
                <pt idx="6">
                  <v>0</v>
                </pt>
                <pt idx="7">
                  <v>0</v>
                </pt>
                <pt idx="8">
                  <v>0</v>
                </pt>
                <pt idx="9">
                  <v>0</v>
                </pt>
                <pt idx="10">
                  <v>0</v>
                </pt>
                <pt idx="11">
                  <v>0</v>
                </pt>
                <pt idx="12">
                  <v>1</v>
                </pt>
              </numCache>
            </numRef>
          </val>
        </ser>
        <gapWidth val="164"/>
        <overlap val="-22"/>
        <axId val="76758311"/>
        <axId val="95391719"/>
      </barChart>
      <catAx>
        <axId val="76758311"/>
        <scaling>
          <orientation val="minMax"/>
        </scaling>
        <delete val="0"/>
        <axPos val="b"/>
        <numFmt formatCode="General" sourceLinked="1"/>
        <majorTickMark val="none"/>
        <minorTickMark val="none"/>
        <tickLblPos val="low"/>
        <spPr>
          <a:ln xmlns:a="http://schemas.openxmlformats.org/drawingml/2006/main" w="19080">
            <a:solidFill>
              <a:srgbClr val="bfbfbf"/>
            </a:solidFill>
            <a:prstDash val="solid"/>
            <a:roun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Calibri"/>
              </a:defRPr>
            </a:pPr>
            <a:r>
              <a:t/>
            </a:r>
          </a:p>
        </txPr>
        <crossAx val="95391719"/>
        <crossesAt val="0"/>
        <auto val="1"/>
        <lblAlgn val="ctr"/>
        <lblOffset val="100"/>
        <noMultiLvlLbl val="0"/>
      </catAx>
      <valAx>
        <axId val="95391719"/>
        <scaling>
          <orientation val="minMax"/>
        </scaling>
        <delete val="0"/>
        <axPos val="l"/>
        <numFmt formatCode="0.00" sourceLinked="1"/>
        <majorTickMark val="none"/>
        <minorTickMark val="none"/>
        <tickLblPos val="nextTo"/>
        <spPr>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Calibri"/>
              </a:defRPr>
            </a:pPr>
            <a:r>
              <a:t/>
            </a:r>
          </a:p>
        </txPr>
        <crossAx val="76758311"/>
        <crosses val="min"/>
        <crossBetween val="between"/>
      </valAx>
    </plotArea>
    <legend>
      <legendPos val="r"/>
      <layout>
        <manualLayout>
          <xMode val="edge"/>
          <yMode val="edge"/>
          <wMode val="factor"/>
          <hMode val="factor"/>
          <x val="0.786405547512002"/>
          <y val="0.171202933295727"/>
        </manualLayout>
      </layout>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Calibri"/>
            </a:defRPr>
          </a:pPr>
          <a:r>
            <a:t/>
          </a:r>
        </a:p>
      </txPr>
    </legend>
    <plotVisOnly val="0"/>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48">
                <a:solidFill>
                  <a:srgbClr val="7f7f7f"/>
                </a:solidFill>
                <a:latin typeface="Calibri"/>
              </a:defRPr>
            </a:pPr>
            <a:r>
              <a:rPr sz="1800" b="1" strike="noStrike" spc="148">
                <a:solidFill>
                  <a:srgbClr val="7f7f7f"/>
                </a:solidFill>
                <a:latin typeface="Calibri"/>
              </a:rPr>
              <a:t>Overall Sales BudgetVSActual</a:t>
            </a:r>
          </a:p>
        </rich>
      </tx>
      <overlay val="0"/>
      <spPr>
        <a:noFill xmlns:a="http://schemas.openxmlformats.org/drawingml/2006/main"/>
        <a:ln xmlns:a="http://schemas.openxmlformats.org/drawingml/2006/main" w="0">
          <a:noFill/>
          <a:prstDash val="solid"/>
        </a:ln>
      </spPr>
    </title>
    <plotArea>
      <layout>
        <manualLayout>
          <xMode val="edge"/>
          <yMode val="edge"/>
          <wMode val="factor"/>
          <hMode val="factor"/>
          <x val="0"/>
          <y val="0.180049566294919"/>
          <w val="0.979542981501632"/>
          <h val="0.671251548946716"/>
        </manualLayout>
      </layout>
      <barChart>
        <barDir val="col"/>
        <grouping val="clustered"/>
        <varyColors val="0"/>
        <ser>
          <idx val="0"/>
          <order val="0"/>
          <tx>
            <strRef>
              <f>Dashboard!$C$3</f>
              <strCache>
                <ptCount val="1"/>
                <pt idx="0">
                  <v xml:space="preserve"> Budget</v>
                </pt>
              </strCache>
            </strRef>
          </tx>
          <spPr>
            <a:ln xmlns:a="http://schemas.openxmlformats.org/drawingml/2006/main" w="0">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
                </a:r>
              </a:p>
            </txPr>
            <showLegendKey val="0"/>
            <showVal val="0"/>
            <showCatName val="0"/>
            <showSerName val="0"/>
            <showPercent val="0"/>
            <showLeaderLines val="1"/>
          </dLbls>
          <cat>
            <strRef>
              <f>Dashboard!$B$4:$B$15</f>
              <strCache>
                <ptCount val="12"/>
                <pt idx="0">
                  <v>JAN</v>
                </pt>
                <pt idx="1">
                  <v>FEB</v>
                </pt>
                <pt idx="2">
                  <v>MAR</v>
                </pt>
                <pt idx="3">
                  <v>APR</v>
                </pt>
                <pt idx="4">
                  <v>MAY</v>
                </pt>
                <pt idx="5">
                  <v>JUN</v>
                </pt>
                <pt idx="6">
                  <v>JUL</v>
                </pt>
                <pt idx="7">
                  <v>AUG</v>
                </pt>
                <pt idx="8">
                  <v>SEP</v>
                </pt>
                <pt idx="9">
                  <v>OCT</v>
                </pt>
                <pt idx="10">
                  <v>NOV</v>
                </pt>
                <pt idx="11">
                  <v>DEC</v>
                </pt>
              </strCache>
            </strRef>
          </cat>
          <val>
            <numRef>
              <f>Dashboard!$C$4:$C$15</f>
              <numCache>
                <formatCode>0.00</formatCode>
                <ptCount val="12"/>
                <pt idx="0">
                  <v>451.277427213166</v>
                </pt>
                <pt idx="1">
                  <v>216.703474159666</v>
                </pt>
                <pt idx="2">
                  <v>308.556494834939</v>
                </pt>
                <pt idx="3">
                  <v>232.143194038298</v>
                </pt>
                <pt idx="4">
                  <v>202.674501601865</v>
                </pt>
                <pt idx="5">
                  <v>171.536707261714</v>
                </pt>
                <pt idx="6">
                  <v>301.573179430853</v>
                </pt>
                <pt idx="7">
                  <v>366.726345846274</v>
                </pt>
                <pt idx="8">
                  <v>340.194673197057</v>
                </pt>
                <pt idx="9">
                  <v>293.774963183747</v>
                </pt>
                <pt idx="10">
                  <v>384.753945436356</v>
                </pt>
                <pt idx="11">
                  <v>334.384540621384</v>
                </pt>
              </numCache>
            </numRef>
          </val>
        </ser>
        <ser>
          <idx val="1"/>
          <order val="1"/>
          <tx>
            <strRef>
              <f>Dashboard!$D$3</f>
              <strCache>
                <ptCount val="1"/>
                <pt idx="0">
                  <v xml:space="preserve">Actual </v>
                </pt>
              </strCache>
            </strRef>
          </tx>
          <spPr>
            <a:ln xmlns:a="http://schemas.openxmlformats.org/drawingml/2006/main" w="0">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
                </a:r>
              </a:p>
            </txPr>
            <showLegendKey val="0"/>
            <showVal val="0"/>
            <showCatName val="0"/>
            <showSerName val="0"/>
            <showPercent val="0"/>
            <showLeaderLines val="1"/>
          </dLbls>
          <cat>
            <strRef>
              <f>Dashboard!$B$4:$B$15</f>
              <strCache>
                <ptCount val="12"/>
                <pt idx="0">
                  <v>JAN</v>
                </pt>
                <pt idx="1">
                  <v>FEB</v>
                </pt>
                <pt idx="2">
                  <v>MAR</v>
                </pt>
                <pt idx="3">
                  <v>APR</v>
                </pt>
                <pt idx="4">
                  <v>MAY</v>
                </pt>
                <pt idx="5">
                  <v>JUN</v>
                </pt>
                <pt idx="6">
                  <v>JUL</v>
                </pt>
                <pt idx="7">
                  <v>AUG</v>
                </pt>
                <pt idx="8">
                  <v>SEP</v>
                </pt>
                <pt idx="9">
                  <v>OCT</v>
                </pt>
                <pt idx="10">
                  <v>NOV</v>
                </pt>
                <pt idx="11">
                  <v>DEC</v>
                </pt>
              </strCache>
            </strRef>
          </cat>
          <val>
            <numRef>
              <f>Dashboard!$D$4:$D$15</f>
              <numCache>
                <formatCode>0.00</formatCode>
                <ptCount val="12"/>
                <pt idx="0">
                  <v>238</v>
                </pt>
                <pt idx="1">
                  <v>117.97</v>
                </pt>
                <pt idx="2">
                  <v>238.84</v>
                </pt>
                <pt idx="3">
                  <v>153.94</v>
                </pt>
                <pt idx="4">
                  <v>253.21</v>
                </pt>
                <pt idx="5">
                  <v>199.44</v>
                </pt>
                <pt idx="6">
                  <v>189.59</v>
                </pt>
                <pt idx="7">
                  <v>360.64</v>
                </pt>
                <pt idx="8">
                  <v>377.79</v>
                </pt>
                <pt idx="9">
                  <v>477.61</v>
                </pt>
                <pt idx="10">
                  <v>640.52</v>
                </pt>
                <pt idx="11">
                  <v>202.82</v>
                </pt>
              </numCache>
            </numRef>
          </val>
        </ser>
        <gapWidth val="164"/>
        <overlap val="-22"/>
        <axId val="78033605"/>
        <axId val="35567914"/>
      </barChart>
      <catAx>
        <axId val="78033605"/>
        <scaling>
          <orientation val="minMax"/>
        </scaling>
        <delete val="0"/>
        <axPos val="b"/>
        <title>
          <tx>
            <rich>
              <a:bodyPr xmlns:a="http://schemas.openxmlformats.org/drawingml/2006/main" rot="0"/>
              <a:lstStyle xmlns:a="http://schemas.openxmlformats.org/drawingml/2006/main"/>
              <a:p xmlns:a="http://schemas.openxmlformats.org/drawingml/2006/main">
                <a:pPr>
                  <a:defRPr sz="900" b="1" strike="noStrike" spc="-1">
                    <a:solidFill>
                      <a:srgbClr val="595959"/>
                    </a:solidFill>
                    <a:latin typeface="Calibri"/>
                  </a:defRPr>
                </a:pPr>
                <a:r>
                  <a:rPr sz="900" b="1" strike="noStrike" spc="-1">
                    <a:solidFill>
                      <a:srgbClr val="595959"/>
                    </a:solidFill>
                    <a:latin typeface="Calibri"/>
                  </a:rPr>
                  <a:t>Value In Lacs.</a:t>
                </a:r>
              </a:p>
            </rich>
          </tx>
          <layout>
            <manualLayout>
              <xMode val="edge"/>
              <yMode val="edge"/>
              <wMode val="factor"/>
              <hMode val="factor"/>
              <x val="0.815959376133479"/>
              <y val="0.163692688971499"/>
            </manualLayout>
          </layout>
          <overlay val="0"/>
          <spPr>
            <a:noFill xmlns:a="http://schemas.openxmlformats.org/drawingml/2006/main"/>
            <a:ln xmlns:a="http://schemas.openxmlformats.org/drawingml/2006/main" w="0">
              <a:noFill/>
              <a:prstDash val="solid"/>
            </a:ln>
          </spPr>
        </title>
        <numFmt formatCode="General" sourceLinked="1"/>
        <majorTickMark val="none"/>
        <minorTickMark val="none"/>
        <tickLblPos val="low"/>
        <spPr>
          <a:ln xmlns:a="http://schemas.openxmlformats.org/drawingml/2006/main" w="19080">
            <a:solidFill>
              <a:srgbClr val="bfbfbf"/>
            </a:solidFill>
            <a:prstDash val="solid"/>
            <a:roun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Calibri"/>
              </a:defRPr>
            </a:pPr>
            <a:r>
              <a:t/>
            </a:r>
          </a:p>
        </txPr>
        <crossAx val="35567914"/>
        <crossesAt val="0"/>
        <auto val="1"/>
        <lblAlgn val="ctr"/>
        <lblOffset val="100"/>
        <noMultiLvlLbl val="0"/>
      </catAx>
      <valAx>
        <axId val="35567914"/>
        <scaling>
          <orientation val="minMax"/>
        </scaling>
        <delete val="0"/>
        <axPos val="l"/>
        <numFmt formatCode="0.00" sourceLinked="1"/>
        <majorTickMark val="none"/>
        <minorTickMark val="none"/>
        <tickLblPos val="nextTo"/>
        <spPr>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Calibri"/>
              </a:defRPr>
            </a:pPr>
            <a:r>
              <a:t/>
            </a:r>
          </a:p>
        </txPr>
        <crossAx val="78033605"/>
        <crosses val="min"/>
        <crossBetween val="between"/>
      </valAx>
    </plotArea>
    <legend>
      <legendPos val="r"/>
      <layout>
        <manualLayout>
          <xMode val="edge"/>
          <yMode val="edge"/>
          <wMode val="factor"/>
          <hMode val="factor"/>
          <x val="0.378237214363439"/>
          <y val="0.852416356877323"/>
        </manualLayout>
      </layout>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Calibri"/>
            </a:defRPr>
          </a:pPr>
          <a:r>
            <a:t/>
          </a:r>
        </a:p>
      </txPr>
    </legend>
    <plotVisOnly val="0"/>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48">
                <a:solidFill>
                  <a:srgbClr val="7f7f7f"/>
                </a:solidFill>
                <a:latin typeface="Calibri"/>
              </a:defRPr>
            </a:pPr>
            <a:r>
              <a:rPr sz="1800" b="1" strike="noStrike" spc="148">
                <a:solidFill>
                  <a:srgbClr val="7f7f7f"/>
                </a:solidFill>
                <a:latin typeface="Calibri"/>
              </a:rPr>
              <a:t>BudgetvsActual YTM</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YTM_Dashboard!$E$3</f>
              <strCache>
                <ptCount val="1"/>
                <pt idx="0">
                  <v>Budget YTM</v>
                </pt>
              </strCache>
            </strRef>
          </tx>
          <spPr>
            <a:ln xmlns:a="http://schemas.openxmlformats.org/drawingml/2006/main" w="0">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
                </a:r>
              </a:p>
            </txPr>
            <showLegendKey val="0"/>
            <showVal val="0"/>
            <showCatName val="0"/>
            <showSerName val="0"/>
            <showPercent val="0"/>
            <showLeaderLines val="1"/>
          </dLbls>
          <cat>
            <strRef>
              <f>YTM_Dashboard!$B$4:$B$16</f>
              <strCache>
                <ptCount val="13"/>
                <pt idx="0">
                  <v>Jan</v>
                </pt>
                <pt idx="1">
                  <v>Feb</v>
                </pt>
                <pt idx="2">
                  <v>Mar</v>
                </pt>
                <pt idx="3">
                  <v>Apr</v>
                </pt>
                <pt idx="4">
                  <v>May</v>
                </pt>
                <pt idx="5">
                  <v>Jun</v>
                </pt>
                <pt idx="6">
                  <v>Jul</v>
                </pt>
                <pt idx="7">
                  <v>Aug</v>
                </pt>
                <pt idx="8">
                  <v>Sep</v>
                </pt>
                <pt idx="9">
                  <v>Oct</v>
                </pt>
                <pt idx="10">
                  <v>Nov</v>
                </pt>
                <pt idx="11">
                  <v>Dec</v>
                </pt>
                <pt idx="12">
                  <v>Total</v>
                </pt>
              </strCache>
            </strRef>
          </cat>
          <val>
            <numRef>
              <f>YTM_Dashboard!$E$4:$E$16</f>
              <numCache>
                <formatCode>0.00</formatCode>
                <ptCount val="13"/>
                <pt idx="0">
                  <v>451.277427213166</v>
                </pt>
                <pt idx="1">
                  <v>667.980901372831</v>
                </pt>
                <pt idx="2">
                  <v>976.53739620777</v>
                </pt>
                <pt idx="3">
                  <v>1208.68059024607</v>
                </pt>
                <pt idx="4">
                  <v>1411.35509184793</v>
                </pt>
                <pt idx="5">
                  <v>1582.89179910965</v>
                </pt>
                <pt idx="6">
                  <v>1884.4649785405</v>
                </pt>
                <pt idx="7">
                  <v>2251.19132438677</v>
                </pt>
                <pt idx="8">
                  <v>2591.38599758383</v>
                </pt>
                <pt idx="9">
                  <v>2885.16096076758</v>
                </pt>
                <pt idx="10">
                  <v>3269.91490620393</v>
                </pt>
                <pt idx="11">
                  <v>3604.29944682532</v>
                </pt>
              </numCache>
            </numRef>
          </val>
        </ser>
        <ser>
          <idx val="1"/>
          <order val="1"/>
          <tx>
            <strRef>
              <f>YTM_Dashboard!$F$3</f>
              <strCache>
                <ptCount val="1"/>
                <pt idx="0">
                  <v>Actual YTM</v>
                </pt>
              </strCache>
            </strRef>
          </tx>
          <spPr>
            <a:ln xmlns:a="http://schemas.openxmlformats.org/drawingml/2006/main" w="0">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
                </a:r>
              </a:p>
            </txPr>
            <showLegendKey val="0"/>
            <showVal val="0"/>
            <showCatName val="0"/>
            <showSerName val="0"/>
            <showPercent val="0"/>
            <showLeaderLines val="1"/>
          </dLbls>
          <cat>
            <strRef>
              <f>YTM_Dashboard!$B$4:$B$16</f>
              <strCache>
                <ptCount val="13"/>
                <pt idx="0">
                  <v>Jan</v>
                </pt>
                <pt idx="1">
                  <v>Feb</v>
                </pt>
                <pt idx="2">
                  <v>Mar</v>
                </pt>
                <pt idx="3">
                  <v>Apr</v>
                </pt>
                <pt idx="4">
                  <v>May</v>
                </pt>
                <pt idx="5">
                  <v>Jun</v>
                </pt>
                <pt idx="6">
                  <v>Jul</v>
                </pt>
                <pt idx="7">
                  <v>Aug</v>
                </pt>
                <pt idx="8">
                  <v>Sep</v>
                </pt>
                <pt idx="9">
                  <v>Oct</v>
                </pt>
                <pt idx="10">
                  <v>Nov</v>
                </pt>
                <pt idx="11">
                  <v>Dec</v>
                </pt>
                <pt idx="12">
                  <v>Total</v>
                </pt>
              </strCache>
            </strRef>
          </cat>
          <val>
            <numRef>
              <f>YTM_Dashboard!$F$4:$F$16</f>
              <numCache>
                <formatCode>0.00</formatCode>
                <ptCount val="13"/>
                <pt idx="0">
                  <v>238</v>
                </pt>
                <pt idx="1">
                  <v>355.97</v>
                </pt>
                <pt idx="2">
                  <v>594.8099999999999</v>
                </pt>
                <pt idx="3">
                  <v>748.75</v>
                </pt>
                <pt idx="4">
                  <v>1001.96</v>
                </pt>
                <pt idx="5">
                  <v>1201.4</v>
                </pt>
                <pt idx="6">
                  <v>1390.99</v>
                </pt>
                <pt idx="7">
                  <v>1751.63</v>
                </pt>
                <pt idx="8">
                  <v>2129.42</v>
                </pt>
                <pt idx="9">
                  <v>2607.03</v>
                </pt>
                <pt idx="10">
                  <v>3247.55</v>
                </pt>
                <pt idx="11">
                  <v>3450.37</v>
                </pt>
              </numCache>
            </numRef>
          </val>
        </ser>
        <gapWidth val="164"/>
        <overlap val="-22"/>
        <axId val="98215784"/>
        <axId val="73593409"/>
      </barChart>
      <catAx>
        <axId val="98215784"/>
        <scaling>
          <orientation val="minMax"/>
        </scaling>
        <delete val="0"/>
        <axPos val="b"/>
        <title>
          <tx>
            <rich>
              <a:bodyPr xmlns:a="http://schemas.openxmlformats.org/drawingml/2006/main" rot="0"/>
              <a:lstStyle xmlns:a="http://schemas.openxmlformats.org/drawingml/2006/main"/>
              <a:p xmlns:a="http://schemas.openxmlformats.org/drawingml/2006/main">
                <a:pPr>
                  <a:defRPr sz="900" b="1" strike="noStrike" spc="-1">
                    <a:solidFill>
                      <a:srgbClr val="595959"/>
                    </a:solidFill>
                    <a:latin typeface="Calibri"/>
                  </a:defRPr>
                </a:pPr>
                <a:r>
                  <a:rPr sz="900" b="1" strike="noStrike" spc="-1">
                    <a:solidFill>
                      <a:srgbClr val="595959"/>
                    </a:solidFill>
                    <a:latin typeface="Calibri"/>
                  </a:rPr>
                  <a:t>Value In Lacs.</a:t>
                </a:r>
              </a:p>
            </rich>
          </tx>
          <layout>
            <manualLayout>
              <xMode val="edge"/>
              <yMode val="edge"/>
              <wMode val="factor"/>
              <hMode val="factor"/>
              <x val="0.813228346456693"/>
              <y val="0.18061555075594"/>
            </manualLayout>
          </layout>
          <overlay val="0"/>
          <spPr>
            <a:noFill xmlns:a="http://schemas.openxmlformats.org/drawingml/2006/main"/>
            <a:ln xmlns:a="http://schemas.openxmlformats.org/drawingml/2006/main" w="0">
              <a:noFill/>
              <a:prstDash val="solid"/>
            </a:ln>
          </spPr>
        </title>
        <numFmt formatCode="General" sourceLinked="1"/>
        <majorTickMark val="none"/>
        <minorTickMark val="none"/>
        <tickLblPos val="low"/>
        <spPr>
          <a:ln xmlns:a="http://schemas.openxmlformats.org/drawingml/2006/main" w="19080">
            <a:solidFill>
              <a:srgbClr val="bfbfbf"/>
            </a:solidFill>
            <a:prstDash val="solid"/>
            <a:roun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Calibri"/>
              </a:defRPr>
            </a:pPr>
            <a:r>
              <a:t/>
            </a:r>
          </a:p>
        </txPr>
        <crossAx val="73593409"/>
        <crossesAt val="0"/>
        <auto val="1"/>
        <lblAlgn val="ctr"/>
        <lblOffset val="100"/>
        <noMultiLvlLbl val="0"/>
      </catAx>
      <valAx>
        <axId val="73593409"/>
        <scaling>
          <orientation val="minMax"/>
        </scaling>
        <delete val="0"/>
        <axPos val="l"/>
        <majorGridlines>
          <spPr>
            <a:ln xmlns:a="http://schemas.openxmlformats.org/drawingml/2006/main" w="9360">
              <a:solidFill>
                <a:srgbClr val="d9d9d9"/>
              </a:solidFill>
              <a:prstDash val="solid"/>
              <a:round/>
            </a:ln>
          </spPr>
        </majorGridlines>
        <numFmt formatCode="0.00" sourceLinked="1"/>
        <majorTickMark val="none"/>
        <minorTickMark val="none"/>
        <tickLblPos val="nextTo"/>
        <spPr>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Calibri"/>
              </a:defRPr>
            </a:pPr>
            <a:r>
              <a:t/>
            </a:r>
          </a:p>
        </txPr>
        <crossAx val="98215784"/>
        <crosses val="min"/>
        <crossBetween val="between"/>
      </valAx>
    </plotArea>
    <legend>
      <legendPos val="r"/>
      <layout>
        <manualLayout>
          <xMode val="edge"/>
          <yMode val="edge"/>
          <wMode val="factor"/>
          <hMode val="factor"/>
          <x val="0.31503937007874"/>
          <y val="0.839362850971922"/>
        </manualLayout>
      </layout>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Calibri"/>
            </a:defRPr>
          </a:pPr>
          <a:r>
            <a:t/>
          </a:r>
        </a:p>
      </txPr>
    </legend>
    <plotVisOnly val="0"/>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drawing1.xml><?xml version="1.0" encoding="utf-8"?>
<wsDr xmlns="http://schemas.openxmlformats.org/drawingml/2006/spreadsheetDrawing">
  <twoCellAnchor editAs="oneCell">
    <from>
      <col>5</col>
      <colOff>552600</colOff>
      <row>1</row>
      <rowOff>85680</rowOff>
    </from>
    <to>
      <col>13</col>
      <colOff>400320</colOff>
      <row>15</row>
      <rowOff>184680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editAs="oneCell">
    <from>
      <col>7</col>
      <colOff>409680</colOff>
      <row>1</row>
      <rowOff>142920</rowOff>
    </from>
    <to>
      <col>15</col>
      <colOff>495360</colOff>
      <row>17</row>
      <rowOff>51480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editAs="oneCell">
    <from>
      <col>8</col>
      <colOff>457200</colOff>
      <row>2</row>
      <rowOff>0</rowOff>
    </from>
    <to>
      <col>16</col>
      <colOff>152640</colOff>
      <row>17</row>
      <rowOff>22680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filterMode="0">
    <outlinePr summaryBelow="1" summaryRight="1"/>
    <pageSetUpPr fitToPage="0"/>
  </sheetPr>
  <dimension ref="B2:D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5234375" defaultRowHeight="15" zeroHeight="0" outlineLevelRow="0"/>
  <cols>
    <col width="8.65" customWidth="1" style="38" min="1" max="2"/>
    <col width="12.3" customWidth="1" style="38" min="3" max="3"/>
    <col hidden="1" width="7.3" customWidth="1" style="38" min="4" max="4"/>
    <col width="8.65" customWidth="1" style="38" min="5" max="16384"/>
  </cols>
  <sheetData>
    <row r="1" ht="13.8" customHeight="1" s="39"/>
    <row r="2" ht="13.8" customHeight="1" s="39">
      <c r="B2" s="40" t="inlineStr">
        <is>
          <t>Month</t>
        </is>
      </c>
      <c r="C2" s="40" t="inlineStr">
        <is>
          <t>Value IN Lacs</t>
        </is>
      </c>
      <c r="D2" s="40" t="inlineStr">
        <is>
          <t>In %</t>
        </is>
      </c>
    </row>
    <row r="3" ht="13.8" customHeight="1" s="39">
      <c r="B3" s="40" t="inlineStr">
        <is>
          <t>JAN</t>
        </is>
      </c>
      <c r="C3" s="41" t="n">
        <v>238.00044555</v>
      </c>
      <c r="D3" s="42">
        <f>C3/$C$15</f>
        <v/>
      </c>
    </row>
    <row r="4" ht="13.8" customHeight="1" s="39">
      <c r="B4" s="40" t="inlineStr">
        <is>
          <t>FEB</t>
        </is>
      </c>
      <c r="C4" s="41" t="n">
        <v>117.975864585</v>
      </c>
      <c r="D4" s="42">
        <f>C4/$C$15</f>
        <v/>
      </c>
    </row>
    <row r="5" ht="13.8" customHeight="1" s="39">
      <c r="B5" s="40" t="inlineStr">
        <is>
          <t>MAR</t>
        </is>
      </c>
      <c r="C5" s="41" t="n"/>
      <c r="D5" s="42">
        <f>C5/$C$15</f>
        <v/>
      </c>
    </row>
    <row r="6" ht="13.8" customHeight="1" s="39">
      <c r="B6" s="40" t="inlineStr">
        <is>
          <t>APR</t>
        </is>
      </c>
      <c r="C6" s="41" t="n"/>
      <c r="D6" s="42">
        <f>C6/$C$15</f>
        <v/>
      </c>
    </row>
    <row r="7" ht="13.8" customHeight="1" s="39">
      <c r="B7" s="40" t="inlineStr">
        <is>
          <t>MAY</t>
        </is>
      </c>
      <c r="C7" s="41" t="n"/>
      <c r="D7" s="42">
        <f>C7/$C$15</f>
        <v/>
      </c>
    </row>
    <row r="8" ht="13.8" customHeight="1" s="39">
      <c r="B8" s="40" t="inlineStr">
        <is>
          <t>JUN</t>
        </is>
      </c>
      <c r="C8" s="41" t="n"/>
      <c r="D8" s="42">
        <f>C8/$C$15</f>
        <v/>
      </c>
    </row>
    <row r="9" ht="13.8" customHeight="1" s="39">
      <c r="B9" s="40" t="inlineStr">
        <is>
          <t>JUL</t>
        </is>
      </c>
      <c r="C9" s="41" t="n"/>
      <c r="D9" s="42">
        <f>C9/$C$15</f>
        <v/>
      </c>
    </row>
    <row r="10" ht="13.8" customHeight="1" s="39">
      <c r="B10" s="40" t="inlineStr">
        <is>
          <t>AUG</t>
        </is>
      </c>
      <c r="C10" s="41" t="n"/>
      <c r="D10" s="42">
        <f>C10/$C$15</f>
        <v/>
      </c>
    </row>
    <row r="11" ht="13.8" customHeight="1" s="39">
      <c r="B11" s="40" t="inlineStr">
        <is>
          <t>SEP</t>
        </is>
      </c>
      <c r="C11" s="41" t="n"/>
      <c r="D11" s="42">
        <f>C11/$C$15</f>
        <v/>
      </c>
    </row>
    <row r="12" ht="13.8" customHeight="1" s="39">
      <c r="B12" s="40" t="inlineStr">
        <is>
          <t>OCT</t>
        </is>
      </c>
      <c r="C12" s="41" t="n"/>
      <c r="D12" s="42">
        <f>C12/$C$15</f>
        <v/>
      </c>
    </row>
    <row r="13" ht="13.8" customHeight="1" s="39">
      <c r="B13" s="40" t="inlineStr">
        <is>
          <t>NOV</t>
        </is>
      </c>
      <c r="C13" s="41" t="n"/>
      <c r="D13" s="42">
        <f>C13/$C$15</f>
        <v/>
      </c>
    </row>
    <row r="14" ht="13.8" customHeight="1" s="39">
      <c r="B14" s="40" t="inlineStr">
        <is>
          <t>DEC</t>
        </is>
      </c>
      <c r="C14" s="41" t="n"/>
      <c r="D14" s="42">
        <f>C14/$C$15</f>
        <v/>
      </c>
    </row>
    <row r="15" ht="13.8" customHeight="1" s="39">
      <c r="B15" s="40" t="inlineStr">
        <is>
          <t>Total</t>
        </is>
      </c>
      <c r="C15" s="43">
        <f>SUM(C3:C14)</f>
        <v/>
      </c>
      <c r="D15" s="44">
        <f>C15/$C$15</f>
        <v/>
      </c>
    </row>
  </sheetData>
  <printOptions horizontalCentered="0" verticalCentered="0" headings="0" gridLines="0" gridLinesSet="1"/>
  <pageMargins left="0.7" right="0.7" top="0.3" bottom="0.3" header="0.3" footer="0.3"/>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0"/>
  </sheetPr>
  <dimension ref="B2:U1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5234375" defaultRowHeight="15" zeroHeight="0" outlineLevelRow="0"/>
  <cols>
    <col width="1.76" customWidth="1" style="38" min="1" max="1"/>
    <col width="8.65" customWidth="1" style="38" min="2" max="6"/>
    <col hidden="1" width="0.67" customWidth="1" style="38" min="7" max="7"/>
    <col width="8.65" customWidth="1" style="38" min="8" max="11"/>
    <col hidden="1" width="0.67" customWidth="1" style="38" min="12" max="12"/>
    <col width="8.65" customWidth="1" style="38" min="13" max="16"/>
    <col hidden="1" width="0.67" customWidth="1" style="38" min="17" max="17"/>
    <col width="8.65" customWidth="1" style="38" min="18" max="16384"/>
  </cols>
  <sheetData>
    <row r="1" ht="13.8" customHeight="1" s="39"/>
    <row r="2" ht="13.8" customHeight="1" s="39">
      <c r="B2" s="40" t="inlineStr">
        <is>
          <t>IN Lacs.</t>
        </is>
      </c>
      <c r="C2" s="45" t="inlineStr">
        <is>
          <t>Budgeted</t>
        </is>
      </c>
      <c r="D2" s="46" t="n"/>
      <c r="E2" s="46" t="n"/>
      <c r="F2" s="47" t="n"/>
      <c r="G2" s="40" t="n"/>
      <c r="H2" s="45" t="inlineStr">
        <is>
          <t>Actual</t>
        </is>
      </c>
      <c r="I2" s="46" t="n"/>
      <c r="J2" s="46" t="n"/>
      <c r="K2" s="47" t="n"/>
      <c r="L2" s="40" t="n"/>
      <c r="M2" s="45" t="inlineStr">
        <is>
          <t>Variance</t>
        </is>
      </c>
      <c r="N2" s="46" t="n"/>
      <c r="O2" s="46" t="n"/>
      <c r="P2" s="47" t="n"/>
      <c r="Q2" s="40" t="n"/>
      <c r="R2" s="45" t="inlineStr">
        <is>
          <t>Achivement IN %</t>
        </is>
      </c>
      <c r="S2" s="46" t="n"/>
      <c r="T2" s="46" t="n"/>
      <c r="U2" s="47" t="n"/>
    </row>
    <row r="3" ht="13.8" customHeight="1" s="39">
      <c r="B3" s="40" t="inlineStr">
        <is>
          <t>Monthly</t>
        </is>
      </c>
      <c r="C3" s="40" t="inlineStr">
        <is>
          <t>Export</t>
        </is>
      </c>
      <c r="D3" s="40" t="inlineStr">
        <is>
          <t>B2B</t>
        </is>
      </c>
      <c r="E3" s="40" t="inlineStr">
        <is>
          <t>B2C</t>
        </is>
      </c>
      <c r="F3" s="40" t="inlineStr">
        <is>
          <t xml:space="preserve">Total </t>
        </is>
      </c>
      <c r="G3" s="40" t="n"/>
      <c r="H3" s="40" t="inlineStr">
        <is>
          <t>Export</t>
        </is>
      </c>
      <c r="I3" s="40" t="inlineStr">
        <is>
          <t>B2B</t>
        </is>
      </c>
      <c r="J3" s="40" t="inlineStr">
        <is>
          <t>B2C</t>
        </is>
      </c>
      <c r="K3" s="40" t="inlineStr">
        <is>
          <t xml:space="preserve">Total </t>
        </is>
      </c>
      <c r="L3" s="40" t="n"/>
      <c r="M3" s="40" t="inlineStr">
        <is>
          <t>Export</t>
        </is>
      </c>
      <c r="N3" s="40" t="inlineStr">
        <is>
          <t>B2B</t>
        </is>
      </c>
      <c r="O3" s="40" t="inlineStr">
        <is>
          <t>B2C</t>
        </is>
      </c>
      <c r="P3" s="40" t="inlineStr">
        <is>
          <t xml:space="preserve">Total </t>
        </is>
      </c>
      <c r="Q3" s="40" t="n"/>
      <c r="R3" s="40" t="inlineStr">
        <is>
          <t>Export</t>
        </is>
      </c>
      <c r="S3" s="40" t="inlineStr">
        <is>
          <t>B2B</t>
        </is>
      </c>
      <c r="T3" s="40" t="inlineStr">
        <is>
          <t>B2C</t>
        </is>
      </c>
      <c r="U3" s="40" t="inlineStr">
        <is>
          <t xml:space="preserve">Total </t>
        </is>
      </c>
    </row>
    <row r="4" ht="14.9" customHeight="1" s="39">
      <c r="B4" s="40" t="inlineStr">
        <is>
          <t>Jan</t>
        </is>
      </c>
      <c r="C4" s="41" t="n">
        <v>356.567147714286</v>
      </c>
      <c r="D4" s="41" t="n">
        <v>32.4492455260907</v>
      </c>
      <c r="E4" s="41" t="n">
        <v>62.2610339727891</v>
      </c>
      <c r="F4" s="41">
        <f>SUM(C4:E4)</f>
        <v/>
      </c>
      <c r="G4" s="48" t="n"/>
      <c r="H4" s="49" t="n">
        <v>134.46</v>
      </c>
      <c r="I4" s="49" t="n">
        <v>15.88</v>
      </c>
      <c r="J4" s="49" t="n">
        <v>87.66</v>
      </c>
      <c r="K4" s="41">
        <f>IF(H4="","",SUM(H4:J4))</f>
        <v/>
      </c>
      <c r="L4" s="48" t="n"/>
      <c r="M4" s="50">
        <f>IF(H4="","",H4-C4)</f>
        <v/>
      </c>
      <c r="N4" s="50">
        <f>IF(I4="","",I4-D4)</f>
        <v/>
      </c>
      <c r="O4" s="50">
        <f>IF(J4="","",J4-E4)</f>
        <v/>
      </c>
      <c r="P4" s="50">
        <f>IF(K4="","",K4-F4)</f>
        <v/>
      </c>
      <c r="Q4" s="48" t="n"/>
      <c r="R4" s="42">
        <f>IF(H4="","",IFERROR(H4/C4,0))</f>
        <v/>
      </c>
      <c r="S4" s="42">
        <f>IF(I4="","",IFERROR(I4/D4,0))</f>
        <v/>
      </c>
      <c r="T4" s="42">
        <f>IF(J4="","",IFERROR(J4/E4,0))</f>
        <v/>
      </c>
      <c r="U4" s="42">
        <f>IF(K4="","",IFERROR(K4/F4,0))</f>
        <v/>
      </c>
    </row>
    <row r="5" ht="14.9" customHeight="1" s="39">
      <c r="B5" s="40" t="inlineStr">
        <is>
          <t>Feb</t>
        </is>
      </c>
      <c r="C5" s="41" t="n">
        <v>161.006961168831</v>
      </c>
      <c r="D5" s="41" t="n">
        <v>30.8462853173653</v>
      </c>
      <c r="E5" s="41" t="n">
        <v>24.8502276734694</v>
      </c>
      <c r="F5" s="41">
        <f>SUM(C5:E5)</f>
        <v/>
      </c>
      <c r="G5" s="48" t="n"/>
      <c r="H5" s="49" t="n">
        <v>45.38</v>
      </c>
      <c r="I5" s="49" t="n">
        <v>12.61</v>
      </c>
      <c r="J5" s="49" t="n">
        <v>59.98</v>
      </c>
      <c r="K5" s="41">
        <f>IF(H5="","",SUM(H5:J5))</f>
        <v/>
      </c>
      <c r="L5" s="48" t="n"/>
      <c r="M5" s="50">
        <f>IF(H5="","",H5-C5)</f>
        <v/>
      </c>
      <c r="N5" s="50">
        <f>IF(I5="","",I5-D5)</f>
        <v/>
      </c>
      <c r="O5" s="50">
        <f>IF(J5="","",J5-E5)</f>
        <v/>
      </c>
      <c r="P5" s="50">
        <f>IF(K5="","",K5-F5)</f>
        <v/>
      </c>
      <c r="Q5" s="48" t="n"/>
      <c r="R5" s="42">
        <f>IF(H5="","",IFERROR(H5/C5,0))</f>
        <v/>
      </c>
      <c r="S5" s="42">
        <f>IF(I5="","",IFERROR(I5/D5,0))</f>
        <v/>
      </c>
      <c r="T5" s="42">
        <f>IF(J5="","",IFERROR(J5/E5,0))</f>
        <v/>
      </c>
      <c r="U5" s="42">
        <f>IF(K5="","",IFERROR(K5/F5,0))</f>
        <v/>
      </c>
    </row>
    <row r="6" ht="14.9" customHeight="1" s="39">
      <c r="B6" s="40" t="inlineStr">
        <is>
          <t>Mar</t>
        </is>
      </c>
      <c r="C6" s="41" t="n">
        <v>206.989837792208</v>
      </c>
      <c r="D6" s="41" t="n">
        <v>71.5823066073567</v>
      </c>
      <c r="E6" s="41" t="n">
        <v>29.9843504353741</v>
      </c>
      <c r="F6" s="41">
        <f>SUM(C6:E6)</f>
        <v/>
      </c>
      <c r="G6" s="48" t="n"/>
      <c r="H6" s="51" t="n">
        <v>106.6</v>
      </c>
      <c r="I6" s="49" t="n">
        <v>11.98</v>
      </c>
      <c r="J6" s="51" t="n">
        <v>120.26</v>
      </c>
      <c r="K6" s="41">
        <f>IF(H6="","",SUM(H6:J6))</f>
        <v/>
      </c>
      <c r="L6" s="48" t="n"/>
      <c r="M6" s="50">
        <f>IF(H6="","",H6-C6)</f>
        <v/>
      </c>
      <c r="N6" s="50">
        <f>IF(I6="","",I6-D6)</f>
        <v/>
      </c>
      <c r="O6" s="50">
        <f>IF(J6="","",J6-E6)</f>
        <v/>
      </c>
      <c r="P6" s="50">
        <f>IF(K6="","",K6-F6)</f>
        <v/>
      </c>
      <c r="Q6" s="48" t="n"/>
      <c r="R6" s="42">
        <f>IF(H6="","",IFERROR(H6/C6,0))</f>
        <v/>
      </c>
      <c r="S6" s="42">
        <f>IF(I6="","",IFERROR(I6/D6,0))</f>
        <v/>
      </c>
      <c r="T6" s="42">
        <f>IF(J6="","",IFERROR(J6/E6,0))</f>
        <v/>
      </c>
      <c r="U6" s="42">
        <f>IF(K6="","",IFERROR(K6/F6,0))</f>
        <v/>
      </c>
    </row>
    <row r="7" ht="14.9" customHeight="1" s="39">
      <c r="B7" s="40" t="inlineStr">
        <is>
          <t>Apr</t>
        </is>
      </c>
      <c r="C7" s="41" t="n">
        <v>173.391508987013</v>
      </c>
      <c r="D7" s="41" t="n">
        <v>38.1097451873396</v>
      </c>
      <c r="E7" s="41" t="n">
        <v>20.6419398639456</v>
      </c>
      <c r="F7" s="41">
        <f>SUM(C7:E7)</f>
        <v/>
      </c>
      <c r="G7" s="48" t="n"/>
      <c r="H7" s="49" t="n">
        <v>36.94</v>
      </c>
      <c r="I7" s="49" t="n">
        <v>1.7</v>
      </c>
      <c r="J7" s="51" t="n">
        <v>115.3</v>
      </c>
      <c r="K7" s="41">
        <f>IF(H7="","",SUM(H7:J7))</f>
        <v/>
      </c>
      <c r="L7" s="48" t="n"/>
      <c r="M7" s="50">
        <f>IF(H7="","",H7-C7)</f>
        <v/>
      </c>
      <c r="N7" s="50">
        <f>IF(I7="","",I7-D7)</f>
        <v/>
      </c>
      <c r="O7" s="50">
        <f>IF(J7="","",J7-E7)</f>
        <v/>
      </c>
      <c r="P7" s="50">
        <f>IF(K7="","",K7-F7)</f>
        <v/>
      </c>
      <c r="Q7" s="48" t="n"/>
      <c r="R7" s="42">
        <f>IF(H7="","",IFERROR(H7/C7,0))</f>
        <v/>
      </c>
      <c r="S7" s="42">
        <f>IF(I7="","",IFERROR(I7/D7,0))</f>
        <v/>
      </c>
      <c r="T7" s="42">
        <f>IF(J7="","",IFERROR(J7/E7,0))</f>
        <v/>
      </c>
      <c r="U7" s="42">
        <f>IF(K7="","",IFERROR(K7/F7,0))</f>
        <v/>
      </c>
    </row>
    <row r="8" ht="14.9" customHeight="1" s="39">
      <c r="B8" s="40" t="inlineStr">
        <is>
          <t>May</t>
        </is>
      </c>
      <c r="C8" s="41" t="n">
        <v>129.390522415584</v>
      </c>
      <c r="D8" s="41" t="n">
        <v>48.7874730094097</v>
      </c>
      <c r="E8" s="41" t="n">
        <v>24.4965061768708</v>
      </c>
      <c r="F8" s="41">
        <f>SUM(C8:E8)</f>
        <v/>
      </c>
      <c r="G8" s="48" t="n"/>
      <c r="H8" s="49" t="n">
        <v>135.53</v>
      </c>
      <c r="I8" s="49" t="n">
        <v>11.34</v>
      </c>
      <c r="J8" s="49" t="n">
        <v>106.34</v>
      </c>
      <c r="K8" s="41">
        <f>IF(H8="","",SUM(H8:J8))</f>
        <v/>
      </c>
      <c r="L8" s="48" t="n"/>
      <c r="M8" s="50">
        <f>IF(H8="","",H8-C8)</f>
        <v/>
      </c>
      <c r="N8" s="50">
        <f>IF(I8="","",I8-D8)</f>
        <v/>
      </c>
      <c r="O8" s="50">
        <f>IF(J8="","",J8-E8)</f>
        <v/>
      </c>
      <c r="P8" s="50">
        <f>IF(K8="","",K8-F8)</f>
        <v/>
      </c>
      <c r="Q8" s="48" t="n"/>
      <c r="R8" s="42">
        <f>IF(H8="","",IFERROR(H8/C8,0))</f>
        <v/>
      </c>
      <c r="S8" s="42">
        <f>IF(I8="","",IFERROR(I8/D8,0))</f>
        <v/>
      </c>
      <c r="T8" s="42">
        <f>IF(J8="","",IFERROR(J8/E8,0))</f>
        <v/>
      </c>
      <c r="U8" s="42">
        <f>IF(K8="","",IFERROR(K8/F8,0))</f>
        <v/>
      </c>
    </row>
    <row r="9" ht="14.9" customHeight="1" s="39">
      <c r="B9" s="40" t="inlineStr">
        <is>
          <t>Jun</t>
        </is>
      </c>
      <c r="C9" s="41" t="n">
        <v>105.359944441558</v>
      </c>
      <c r="D9" s="41" t="n">
        <v>30.9583432147134</v>
      </c>
      <c r="E9" s="41" t="n">
        <v>35.2184196054422</v>
      </c>
      <c r="F9" s="41">
        <f>SUM(C9:E9)</f>
        <v/>
      </c>
      <c r="G9" s="48" t="n"/>
      <c r="H9" s="49" t="n">
        <v>110.45</v>
      </c>
      <c r="I9" s="49" t="n">
        <v>13.56</v>
      </c>
      <c r="J9" s="49" t="n">
        <v>75.43000000000001</v>
      </c>
      <c r="K9" s="41">
        <f>IF(H9="","",SUM(H9:J9))</f>
        <v/>
      </c>
      <c r="L9" s="48" t="n"/>
      <c r="M9" s="50">
        <f>IF(H9="","",H9-C9)</f>
        <v/>
      </c>
      <c r="N9" s="50">
        <f>IF(I9="","",I9-D9)</f>
        <v/>
      </c>
      <c r="O9" s="50">
        <f>IF(J9="","",J9-E9)</f>
        <v/>
      </c>
      <c r="P9" s="50">
        <f>IF(K9="","",K9-F9)</f>
        <v/>
      </c>
      <c r="Q9" s="48" t="n"/>
      <c r="R9" s="42">
        <f>IF(H9="","",IFERROR(H9/C9,0))</f>
        <v/>
      </c>
      <c r="S9" s="42">
        <f>IF(I9="","",IFERROR(I9/D9,0))</f>
        <v/>
      </c>
      <c r="T9" s="42">
        <f>IF(J9="","",IFERROR(J9/E9,0))</f>
        <v/>
      </c>
      <c r="U9" s="42">
        <f>IF(K9="","",IFERROR(K9/F9,0))</f>
        <v/>
      </c>
    </row>
    <row r="10" ht="14.9" customHeight="1" s="39">
      <c r="B10" s="40" t="inlineStr">
        <is>
          <t>Jul</t>
        </is>
      </c>
      <c r="C10" s="41" t="n">
        <v>223.435117714286</v>
      </c>
      <c r="D10" s="41" t="n">
        <v>44.6077975260907</v>
      </c>
      <c r="E10" s="41" t="n">
        <v>33.5302641904762</v>
      </c>
      <c r="F10" s="41">
        <f>SUM(C10:E10)</f>
        <v/>
      </c>
      <c r="G10" s="48" t="n"/>
      <c r="H10" s="49" t="n">
        <v>98.37</v>
      </c>
      <c r="I10" s="49" t="n">
        <v>23.45</v>
      </c>
      <c r="J10" s="49" t="n">
        <v>67.77</v>
      </c>
      <c r="K10" s="41">
        <f>IF(H10="","",SUM(H10:J10))</f>
        <v/>
      </c>
      <c r="L10" s="48" t="n"/>
      <c r="M10" s="50">
        <f>IF(H10="","",H10-C10)</f>
        <v/>
      </c>
      <c r="N10" s="50">
        <f>IF(I10="","",I10-D10)</f>
        <v/>
      </c>
      <c r="O10" s="50">
        <f>IF(J10="","",J10-E10)</f>
        <v/>
      </c>
      <c r="P10" s="50">
        <f>IF(K10="","",K10-F10)</f>
        <v/>
      </c>
      <c r="Q10" s="48" t="n"/>
      <c r="R10" s="42">
        <f>IF(H10="","",IFERROR(H10/C10,0))</f>
        <v/>
      </c>
      <c r="S10" s="42">
        <f>IF(I10="","",IFERROR(I10/D10,0))</f>
        <v/>
      </c>
      <c r="T10" s="42">
        <f>IF(J10="","",IFERROR(J10/E10,0))</f>
        <v/>
      </c>
      <c r="U10" s="42">
        <f>IF(K10="","",IFERROR(K10/F10,0))</f>
        <v/>
      </c>
    </row>
    <row r="11" ht="14.9" customHeight="1" s="39">
      <c r="B11" s="40" t="inlineStr">
        <is>
          <t>Aug</t>
        </is>
      </c>
      <c r="C11" s="41" t="n">
        <v>223.678875272727</v>
      </c>
      <c r="D11" s="41" t="n">
        <v>53.983254641574</v>
      </c>
      <c r="E11" s="41" t="n">
        <v>89.0642159319728</v>
      </c>
      <c r="F11" s="41">
        <f>SUM(C11:E11)</f>
        <v/>
      </c>
      <c r="G11" s="48" t="n"/>
      <c r="H11" s="49" t="n">
        <v>210.45</v>
      </c>
      <c r="I11" s="49" t="n">
        <v>26.54</v>
      </c>
      <c r="J11" s="49" t="n">
        <v>123.65</v>
      </c>
      <c r="K11" s="41">
        <f>IF(H11="","",SUM(H11:J11))</f>
        <v/>
      </c>
      <c r="L11" s="48" t="n"/>
      <c r="M11" s="50">
        <f>IF(H11="","",H11-C11)</f>
        <v/>
      </c>
      <c r="N11" s="50">
        <f>IF(I11="","",I11-D11)</f>
        <v/>
      </c>
      <c r="O11" s="50">
        <f>IF(J11="","",J11-E11)</f>
        <v/>
      </c>
      <c r="P11" s="50">
        <f>IF(K11="","",K11-F11)</f>
        <v/>
      </c>
      <c r="Q11" s="48" t="n"/>
      <c r="R11" s="42">
        <f>IF(H11="","",IFERROR(H11/C11,0))</f>
        <v/>
      </c>
      <c r="S11" s="42">
        <f>IF(I11="","",IFERROR(I11/D11,0))</f>
        <v/>
      </c>
      <c r="T11" s="42">
        <f>IF(J11="","",IFERROR(J11/E11,0))</f>
        <v/>
      </c>
      <c r="U11" s="42">
        <f>IF(K11="","",IFERROR(K11/F11,0))</f>
        <v/>
      </c>
    </row>
    <row r="12" ht="14.9" customHeight="1" s="39">
      <c r="B12" s="40" t="inlineStr">
        <is>
          <t>Sep</t>
        </is>
      </c>
      <c r="C12" s="41" t="n">
        <v>287.111218103896</v>
      </c>
      <c r="D12" s="41" t="n">
        <v>18.6807573652695</v>
      </c>
      <c r="E12" s="41" t="n">
        <v>34.4026977278912</v>
      </c>
      <c r="F12" s="41">
        <f>SUM(C12:E12)</f>
        <v/>
      </c>
      <c r="G12" s="48" t="n"/>
      <c r="H12" s="49" t="n">
        <v>253.56</v>
      </c>
      <c r="I12" s="49" t="n">
        <v>34.67</v>
      </c>
      <c r="J12" s="49" t="n">
        <v>89.56</v>
      </c>
      <c r="K12" s="41">
        <f>IF(H12="","",SUM(H12:J12))</f>
        <v/>
      </c>
      <c r="L12" s="48" t="n"/>
      <c r="M12" s="50">
        <f>IF(H12="","",H12-C12)</f>
        <v/>
      </c>
      <c r="N12" s="50">
        <f>IF(I12="","",I12-D12)</f>
        <v/>
      </c>
      <c r="O12" s="50">
        <f>IF(J12="","",J12-E12)</f>
        <v/>
      </c>
      <c r="P12" s="50">
        <f>IF(K12="","",K12-F12)</f>
        <v/>
      </c>
      <c r="Q12" s="48" t="n"/>
      <c r="R12" s="42">
        <f>IF(H12="","",IFERROR(H12/C12,0))</f>
        <v/>
      </c>
      <c r="S12" s="42">
        <f>IF(I12="","",IFERROR(I12/D12,0))</f>
        <v/>
      </c>
      <c r="T12" s="42">
        <f>IF(J12="","",IFERROR(J12/E12,0))</f>
        <v/>
      </c>
      <c r="U12" s="42">
        <f>IF(K12="","",IFERROR(K12/F12,0))</f>
        <v/>
      </c>
    </row>
    <row r="13" ht="14.9" customHeight="1" s="39">
      <c r="B13" s="40" t="inlineStr">
        <is>
          <t>Oct</t>
        </is>
      </c>
      <c r="C13" s="41" t="n">
        <v>125.864178727273</v>
      </c>
      <c r="D13" s="41" t="n">
        <v>66.6311941163388</v>
      </c>
      <c r="E13" s="41" t="n">
        <v>101.279590340136</v>
      </c>
      <c r="F13" s="41">
        <f>SUM(C13:E13)</f>
        <v/>
      </c>
      <c r="G13" s="48" t="n"/>
      <c r="H13" s="49" t="n">
        <v>280.38</v>
      </c>
      <c r="I13" s="49" t="n">
        <v>29.45</v>
      </c>
      <c r="J13" s="49" t="n">
        <v>167.78</v>
      </c>
      <c r="K13" s="41">
        <f>IF(H13="","",SUM(H13:J13))</f>
        <v/>
      </c>
      <c r="L13" s="48" t="n"/>
      <c r="M13" s="50">
        <f>IF(H13="","",H13-C13)</f>
        <v/>
      </c>
      <c r="N13" s="50">
        <f>IF(I13="","",I13-D13)</f>
        <v/>
      </c>
      <c r="O13" s="50">
        <f>IF(J13="","",J13-E13)</f>
        <v/>
      </c>
      <c r="P13" s="50">
        <f>IF(K13="","",K13-F13)</f>
        <v/>
      </c>
      <c r="Q13" s="48" t="n"/>
      <c r="R13" s="42">
        <f>IF(H13="","",IFERROR(H13/C13,0))</f>
        <v/>
      </c>
      <c r="S13" s="42">
        <f>IF(I13="","",IFERROR(I13/D13,0))</f>
        <v/>
      </c>
      <c r="T13" s="42">
        <f>IF(J13="","",IFERROR(J13/E13,0))</f>
        <v/>
      </c>
      <c r="U13" s="42">
        <f>IF(K13="","",IFERROR(K13/F13,0))</f>
        <v/>
      </c>
    </row>
    <row r="14" ht="14.9" customHeight="1" s="39">
      <c r="B14" s="40" t="inlineStr">
        <is>
          <t>Nov</t>
        </is>
      </c>
      <c r="C14" s="41" t="n">
        <v>308.819077350649</v>
      </c>
      <c r="D14" s="41" t="n">
        <v>22.2480086843456</v>
      </c>
      <c r="E14" s="41" t="n">
        <v>53.6868594013606</v>
      </c>
      <c r="F14" s="41">
        <f>SUM(C14:E14)</f>
        <v/>
      </c>
      <c r="G14" s="48" t="n"/>
      <c r="H14" s="49" t="n">
        <v>395.98</v>
      </c>
      <c r="I14" s="49" t="n">
        <v>45.65</v>
      </c>
      <c r="J14" s="49" t="n">
        <v>198.89</v>
      </c>
      <c r="K14" s="41">
        <f>IF(H14="","",SUM(H14:J14))</f>
        <v/>
      </c>
      <c r="L14" s="48" t="n"/>
      <c r="M14" s="50">
        <f>IF(H14="","",H14-C14)</f>
        <v/>
      </c>
      <c r="N14" s="50">
        <f>IF(I14="","",I14-D14)</f>
        <v/>
      </c>
      <c r="O14" s="50">
        <f>IF(J14="","",J14-E14)</f>
        <v/>
      </c>
      <c r="P14" s="50">
        <f>IF(K14="","",K14-F14)</f>
        <v/>
      </c>
      <c r="Q14" s="48" t="n"/>
      <c r="R14" s="42">
        <f>IF(H14="","",IFERROR(H14/C14,0))</f>
        <v/>
      </c>
      <c r="S14" s="42">
        <f>IF(I14="","",IFERROR(I14/D14,0))</f>
        <v/>
      </c>
      <c r="T14" s="42">
        <f>IF(J14="","",IFERROR(J14/E14,0))</f>
        <v/>
      </c>
      <c r="U14" s="42">
        <f>IF(K14="","",IFERROR(K14/F14,0))</f>
        <v/>
      </c>
    </row>
    <row r="15" ht="14.9" customHeight="1" s="39">
      <c r="B15" s="40" t="inlineStr">
        <is>
          <t>Dec</t>
        </is>
      </c>
      <c r="C15" s="41" t="n">
        <v>182.039529402597</v>
      </c>
      <c r="D15" s="41" t="n">
        <v>49.2612516133447</v>
      </c>
      <c r="E15" s="41" t="n">
        <v>103.083759605442</v>
      </c>
      <c r="F15" s="41">
        <f>SUM(C15:E15)</f>
        <v/>
      </c>
      <c r="G15" s="48" t="n"/>
      <c r="H15" s="49" t="n">
        <v>114.34</v>
      </c>
      <c r="I15" s="49" t="n">
        <v>10.05</v>
      </c>
      <c r="J15" s="49" t="n">
        <v>78.43000000000001</v>
      </c>
      <c r="K15" s="41">
        <f>IF(H15="","",SUM(H15:J15))</f>
        <v/>
      </c>
      <c r="L15" s="48" t="n"/>
      <c r="M15" s="50">
        <f>IF(H15="","",H15-C15)</f>
        <v/>
      </c>
      <c r="N15" s="50">
        <f>IF(I15="","",I15-D15)</f>
        <v/>
      </c>
      <c r="O15" s="50">
        <f>IF(J15="","",J15-E15)</f>
        <v/>
      </c>
      <c r="P15" s="50">
        <f>IF(K15="","",K15-F15)</f>
        <v/>
      </c>
      <c r="Q15" s="48" t="n"/>
      <c r="R15" s="42">
        <f>IF(H15="","",IFERROR(H15/C15,0))</f>
        <v/>
      </c>
      <c r="S15" s="42">
        <f>IF(I15="","",IFERROR(I15/D15,0))</f>
        <v/>
      </c>
      <c r="T15" s="42">
        <f>IF(J15="","",IFERROR(J15/E15,0))</f>
        <v/>
      </c>
      <c r="U15" s="42">
        <f>IF(K15="","",IFERROR(K15/F15,0))</f>
        <v/>
      </c>
    </row>
    <row r="16" ht="13.8" customFormat="1" customHeight="1" s="52">
      <c r="B16" s="40" t="n"/>
      <c r="C16" s="43">
        <f>SUM(C4:C15)</f>
        <v/>
      </c>
      <c r="D16" s="43">
        <f>SUM(D4:D15)</f>
        <v/>
      </c>
      <c r="E16" s="43">
        <f>SUM(E4:E15)</f>
        <v/>
      </c>
      <c r="F16" s="43">
        <f>SUM(F4:F15)</f>
        <v/>
      </c>
      <c r="G16" s="40" t="n"/>
      <c r="H16" s="43">
        <f>SUM(H4:H15)</f>
        <v/>
      </c>
      <c r="I16" s="43">
        <f>SUM(I4:I15)</f>
        <v/>
      </c>
      <c r="J16" s="43">
        <f>SUM(J4:J15)</f>
        <v/>
      </c>
      <c r="K16" s="43">
        <f>SUM(K4:K15)</f>
        <v/>
      </c>
      <c r="L16" s="40" t="n"/>
      <c r="M16" s="43">
        <f>SUM(M4:M15)</f>
        <v/>
      </c>
      <c r="N16" s="43">
        <f>SUM(N4:N15)</f>
        <v/>
      </c>
      <c r="O16" s="43">
        <f>SUM(O4:O15)</f>
        <v/>
      </c>
      <c r="P16" s="43">
        <f>SUM(P4:P15)</f>
        <v/>
      </c>
      <c r="Q16" s="40" t="n"/>
      <c r="R16" s="44">
        <f>IFERROR(H16/C16,0)</f>
        <v/>
      </c>
      <c r="S16" s="44">
        <f>IFERROR(I16/D16,0)</f>
        <v/>
      </c>
      <c r="T16" s="44">
        <f>IFERROR(J16/E16,0)</f>
        <v/>
      </c>
      <c r="U16" s="44">
        <f>IFERROR(K16/F16,0)</f>
        <v/>
      </c>
    </row>
  </sheetData>
  <mergeCells count="4">
    <mergeCell ref="H2:K2"/>
    <mergeCell ref="C2:F2"/>
    <mergeCell ref="R2:U2"/>
    <mergeCell ref="M2:P2"/>
  </mergeCells>
  <conditionalFormatting sqref="M4:P15">
    <cfRule type="cellIs" rank="0" priority="2" equalAverage="0" operator="greaterThan" aboveAverage="0" dxfId="0" text="" percent="0" bottom="0">
      <formula>0</formula>
    </cfRule>
    <cfRule type="cellIs" rank="0" priority="3" equalAverage="0" operator="lessThan" aboveAverage="0" dxfId="1" text="" percent="0" bottom="0">
      <formula>0</formula>
    </cfRule>
    <cfRule type="cellIs" rank="0" priority="4" equalAverage="0" operator="lessThan" aboveAverage="0" dxfId="2" text="" percent="0" bottom="0">
      <formula>0</formula>
    </cfRule>
    <cfRule type="cellIs" rank="0" priority="5" equalAverage="0" operator="greaterThan" aboveAverage="0" dxfId="3" text="" percent="0" bottom="0">
      <formula>0</formula>
    </cfRule>
  </conditionalFormatting>
  <printOptions horizontalCentered="0" verticalCentered="0" headings="0" gridLines="0" gridLinesSet="1"/>
  <pageMargins left="0.7" right="0.7" top="0.3" bottom="0.3" header="0.3" footer="0.3"/>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16"/>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65234375" defaultRowHeight="15" zeroHeight="0" outlineLevelRow="0"/>
  <cols>
    <col width="2.03" customWidth="1" style="38" min="1" max="1"/>
    <col width="8.65" customWidth="1" style="38" min="2" max="2"/>
    <col width="7.3" customWidth="1" style="38" min="3" max="3"/>
    <col width="7.16" customWidth="1" style="38" min="4" max="4"/>
    <col width="8.24" customWidth="1" style="38" min="5" max="5"/>
    <col width="5.27" customWidth="1" style="38" min="6" max="6"/>
    <col width="8.65" customWidth="1" style="38" min="7" max="16384"/>
  </cols>
  <sheetData>
    <row r="1" ht="17.35" customHeight="1" s="39">
      <c r="A1" s="53" t="inlineStr">
        <is>
          <t>Budget vs Actual Dashboard(In Lacs)</t>
        </is>
      </c>
    </row>
    <row r="2" ht="13.8" customHeight="1" s="39"/>
    <row r="3" ht="27.75" customHeight="1" s="39">
      <c r="B3" s="54" t="inlineStr">
        <is>
          <t>Month</t>
        </is>
      </c>
      <c r="C3" s="54" t="inlineStr">
        <is>
          <t xml:space="preserve"> Budget</t>
        </is>
      </c>
      <c r="D3" s="54" t="inlineStr">
        <is>
          <t xml:space="preserve">Actual </t>
        </is>
      </c>
      <c r="E3" s="54" t="inlineStr">
        <is>
          <t xml:space="preserve">Variance </t>
        </is>
      </c>
      <c r="F3" s="54" t="inlineStr">
        <is>
          <t>In %</t>
        </is>
      </c>
    </row>
    <row r="4" ht="13.8" customHeight="1" s="39">
      <c r="B4" s="40" t="inlineStr">
        <is>
          <t>JAN</t>
        </is>
      </c>
      <c r="C4" s="41">
        <f>IF(D4="","",Categorywise_Variance!F4)</f>
        <v/>
      </c>
      <c r="D4" s="41">
        <f>IF(Categorywise_Variance!K4="","",Categorywise_Variance!K4)</f>
        <v/>
      </c>
      <c r="E4" s="41">
        <f>IF(D4="","",D4-C4)</f>
        <v/>
      </c>
      <c r="F4" s="42">
        <f>IFERROR(IF(D4="","",D4/C4),0)</f>
        <v/>
      </c>
    </row>
    <row r="5" ht="13.8" customHeight="1" s="39">
      <c r="B5" s="40" t="inlineStr">
        <is>
          <t>FEB</t>
        </is>
      </c>
      <c r="C5" s="41">
        <f>IF(D5="","",Categorywise_Variance!F5)</f>
        <v/>
      </c>
      <c r="D5" s="41">
        <f>IF(Categorywise_Variance!K5="","",Categorywise_Variance!K5)</f>
        <v/>
      </c>
      <c r="E5" s="41">
        <f>IF(D5="","",D5-C5)</f>
        <v/>
      </c>
      <c r="F5" s="42">
        <f>IFERROR(IF(D5="","",D5/C5),0)</f>
        <v/>
      </c>
    </row>
    <row r="6" ht="13.8" customHeight="1" s="39">
      <c r="B6" s="40" t="inlineStr">
        <is>
          <t>MAR</t>
        </is>
      </c>
      <c r="C6" s="41">
        <f>IF(D6="","",Categorywise_Variance!F6)</f>
        <v/>
      </c>
      <c r="D6" s="41">
        <f>IF(Categorywise_Variance!K6="","",Categorywise_Variance!K6)</f>
        <v/>
      </c>
      <c r="E6" s="41">
        <f>IF(D6="","",D6-C6)</f>
        <v/>
      </c>
      <c r="F6" s="42">
        <f>IFERROR(IF(D6="","",D6/C6),0)</f>
        <v/>
      </c>
    </row>
    <row r="7" ht="13.8" customHeight="1" s="39">
      <c r="B7" s="40" t="inlineStr">
        <is>
          <t>APR</t>
        </is>
      </c>
      <c r="C7" s="41">
        <f>IF(D7="","",Categorywise_Variance!F7)</f>
        <v/>
      </c>
      <c r="D7" s="41">
        <f>IF(Categorywise_Variance!K7="","",Categorywise_Variance!K7)</f>
        <v/>
      </c>
      <c r="E7" s="41">
        <f>IF(D7="","",D7-C7)</f>
        <v/>
      </c>
      <c r="F7" s="42">
        <f>IFERROR(IF(D7="","",D7/C7),0)</f>
        <v/>
      </c>
    </row>
    <row r="8" ht="13.8" customHeight="1" s="39">
      <c r="B8" s="40" t="inlineStr">
        <is>
          <t>MAY</t>
        </is>
      </c>
      <c r="C8" s="41">
        <f>IF(D8="","",Categorywise_Variance!F8)</f>
        <v/>
      </c>
      <c r="D8" s="41">
        <f>IF(Categorywise_Variance!K8="","",Categorywise_Variance!K8)</f>
        <v/>
      </c>
      <c r="E8" s="41">
        <f>IF(D8="","",D8-C8)</f>
        <v/>
      </c>
      <c r="F8" s="42">
        <f>IFERROR(IF(D8="","",D8/C8),0)</f>
        <v/>
      </c>
    </row>
    <row r="9" ht="13.8" customHeight="1" s="39">
      <c r="B9" s="40" t="inlineStr">
        <is>
          <t>JUN</t>
        </is>
      </c>
      <c r="C9" s="41">
        <f>IF(D9="","",Categorywise_Variance!F9)</f>
        <v/>
      </c>
      <c r="D9" s="41">
        <f>IF(Categorywise_Variance!K9="","",Categorywise_Variance!K9)</f>
        <v/>
      </c>
      <c r="E9" s="41">
        <f>IF(D9="","",D9-C9)</f>
        <v/>
      </c>
      <c r="F9" s="42">
        <f>IFERROR(IF(D9="","",D9/C9),0)</f>
        <v/>
      </c>
    </row>
    <row r="10" ht="13.8" customHeight="1" s="39">
      <c r="B10" s="40" t="inlineStr">
        <is>
          <t>JUL</t>
        </is>
      </c>
      <c r="C10" s="41">
        <f>IF(D10="","",Categorywise_Variance!F10)</f>
        <v/>
      </c>
      <c r="D10" s="41">
        <f>IF(Categorywise_Variance!K10="","",Categorywise_Variance!K10)</f>
        <v/>
      </c>
      <c r="E10" s="41">
        <f>IF(D10="","",D10-C10)</f>
        <v/>
      </c>
      <c r="F10" s="42">
        <f>IFERROR(IF(D10="","",D10/C10),0)</f>
        <v/>
      </c>
    </row>
    <row r="11" ht="13.8" customHeight="1" s="39">
      <c r="B11" s="40" t="inlineStr">
        <is>
          <t>AUG</t>
        </is>
      </c>
      <c r="C11" s="41">
        <f>IF(D11="","",Categorywise_Variance!F11)</f>
        <v/>
      </c>
      <c r="D11" s="41">
        <f>IF(Categorywise_Variance!K11="","",Categorywise_Variance!K11)</f>
        <v/>
      </c>
      <c r="E11" s="41">
        <f>IF(D11="","",D11-C11)</f>
        <v/>
      </c>
      <c r="F11" s="42">
        <f>IFERROR(IF(D11="","",D11/C11),0)</f>
        <v/>
      </c>
    </row>
    <row r="12" ht="13.8" customHeight="1" s="39">
      <c r="B12" s="40" t="inlineStr">
        <is>
          <t>SEP</t>
        </is>
      </c>
      <c r="C12" s="41">
        <f>IF(D12="","",Categorywise_Variance!F12)</f>
        <v/>
      </c>
      <c r="D12" s="41">
        <f>IF(Categorywise_Variance!K12="","",Categorywise_Variance!K12)</f>
        <v/>
      </c>
      <c r="E12" s="41">
        <f>IF(D12="","",D12-C12)</f>
        <v/>
      </c>
      <c r="F12" s="42">
        <f>IFERROR(IF(D12="","",D12/C12),0)</f>
        <v/>
      </c>
    </row>
    <row r="13" ht="13.8" customHeight="1" s="39">
      <c r="B13" s="40" t="inlineStr">
        <is>
          <t>OCT</t>
        </is>
      </c>
      <c r="C13" s="41">
        <f>IF(D13="","",Categorywise_Variance!F13)</f>
        <v/>
      </c>
      <c r="D13" s="41">
        <f>IF(Categorywise_Variance!K13="","",Categorywise_Variance!K13)</f>
        <v/>
      </c>
      <c r="E13" s="41">
        <f>IF(D13="","",D13-C13)</f>
        <v/>
      </c>
      <c r="F13" s="42">
        <f>IFERROR(IF(D13="","",D13/C13),0)</f>
        <v/>
      </c>
    </row>
    <row r="14" ht="13.8" customHeight="1" s="39">
      <c r="B14" s="40" t="inlineStr">
        <is>
          <t>NOV</t>
        </is>
      </c>
      <c r="C14" s="41">
        <f>IF(D14="","",Categorywise_Variance!F14)</f>
        <v/>
      </c>
      <c r="D14" s="41">
        <f>IF(Categorywise_Variance!K14="","",Categorywise_Variance!K14)</f>
        <v/>
      </c>
      <c r="E14" s="41">
        <f>IF(D14="","",D14-C14)</f>
        <v/>
      </c>
      <c r="F14" s="42">
        <f>IFERROR(IF(D14="","",D14/C14),0)</f>
        <v/>
      </c>
    </row>
    <row r="15" ht="13.8" customHeight="1" s="39">
      <c r="B15" s="40" t="inlineStr">
        <is>
          <t>DEC</t>
        </is>
      </c>
      <c r="C15" s="41">
        <f>IF(D15="","",Categorywise_Variance!F15)</f>
        <v/>
      </c>
      <c r="D15" s="41">
        <f>IF(Categorywise_Variance!K15="","",Categorywise_Variance!K15)</f>
        <v/>
      </c>
      <c r="E15" s="41">
        <f>IF(D15="","",D15-C15)</f>
        <v/>
      </c>
      <c r="F15" s="42">
        <f>IFERROR(IF(D15="","",D15/C15),0)</f>
        <v/>
      </c>
    </row>
    <row r="16" ht="13.8" customHeight="1" s="39">
      <c r="B16" s="40" t="inlineStr">
        <is>
          <t>Total</t>
        </is>
      </c>
      <c r="C16" s="43">
        <f>SUM(C4:C15)</f>
        <v/>
      </c>
      <c r="D16" s="43">
        <f>SUM(D4:D15)</f>
        <v/>
      </c>
      <c r="E16" s="43">
        <f>SUM(E4:E15)</f>
        <v/>
      </c>
      <c r="F16" s="44">
        <f>IFERROR(D16/C16,0)</f>
        <v/>
      </c>
    </row>
  </sheetData>
  <printOptions horizontalCentered="0" verticalCentered="0" headings="0" gridLines="0" gridLinesSet="1"/>
  <pageMargins left="0.7" right="0.7" top="0.3" bottom="0.3" header="0.3" footer="0.3"/>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H16"/>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65234375" defaultRowHeight="15" zeroHeight="0" outlineLevelRow="0"/>
  <cols>
    <col width="2.03" customWidth="1" style="38" min="1" max="1"/>
    <col width="8.65" customWidth="1" style="38" min="2" max="2"/>
    <col width="10" customWidth="1" style="38" min="3" max="3"/>
    <col width="8.779999999999999" customWidth="1" style="38" min="4" max="4"/>
    <col width="10.95" customWidth="1" style="38" min="5" max="5"/>
    <col width="10.27" customWidth="1" style="38" min="6" max="6"/>
    <col width="12.3" customWidth="1" style="38" min="7" max="7"/>
    <col width="14.19" customWidth="1" style="38" min="8" max="8"/>
    <col width="8.65" customWidth="1" style="38" min="9" max="16384"/>
  </cols>
  <sheetData>
    <row r="1" ht="22.05" customHeight="1" s="39">
      <c r="A1" s="55" t="inlineStr">
        <is>
          <t>BudgetVSActual_YTM(In Lacs)</t>
        </is>
      </c>
    </row>
    <row r="2" ht="13.8" customHeight="1" s="39"/>
    <row r="3" ht="13.8" customHeight="1" s="39">
      <c r="B3" s="56" t="inlineStr">
        <is>
          <t>Month</t>
        </is>
      </c>
      <c r="C3" s="56" t="inlineStr">
        <is>
          <t>Budget</t>
        </is>
      </c>
      <c r="D3" s="56" t="inlineStr">
        <is>
          <t>Actual</t>
        </is>
      </c>
      <c r="E3" s="56" t="inlineStr">
        <is>
          <t>Budget YTM</t>
        </is>
      </c>
      <c r="F3" s="56" t="inlineStr">
        <is>
          <t>Actual YTM</t>
        </is>
      </c>
      <c r="G3" s="56" t="inlineStr">
        <is>
          <t>Variance YTM</t>
        </is>
      </c>
      <c r="H3" s="56" t="inlineStr">
        <is>
          <t>% Achievement</t>
        </is>
      </c>
    </row>
    <row r="4" ht="13.8" customHeight="1" s="39">
      <c r="B4" s="56" t="inlineStr">
        <is>
          <t>Jan</t>
        </is>
      </c>
      <c r="C4" s="57">
        <f>IF(Dashboard!C4="","",Dashboard!C4)</f>
        <v/>
      </c>
      <c r="D4" s="57">
        <f>IF(Dashboard!D4="","",Dashboard!D4)</f>
        <v/>
      </c>
      <c r="E4" s="57">
        <f>IF(C4="","",SUM(C$4:C4))</f>
        <v/>
      </c>
      <c r="F4" s="57">
        <f>IF(D4="","",SUM(D$4:D4))</f>
        <v/>
      </c>
      <c r="G4" s="57">
        <f>IF(F4&amp;E4="","",F4-E4)</f>
        <v/>
      </c>
      <c r="H4" s="58">
        <f>IFERROR(IF(G4="","",F4/E4),0)</f>
        <v/>
      </c>
    </row>
    <row r="5" ht="13.8" customHeight="1" s="39">
      <c r="B5" s="56" t="inlineStr">
        <is>
          <t>Feb</t>
        </is>
      </c>
      <c r="C5" s="57">
        <f>IF(Dashboard!C5="","",Dashboard!C5)</f>
        <v/>
      </c>
      <c r="D5" s="57">
        <f>IF(Dashboard!D5="","",Dashboard!D5)</f>
        <v/>
      </c>
      <c r="E5" s="57">
        <f>IF(C5="","",SUM(C$4:C5))</f>
        <v/>
      </c>
      <c r="F5" s="57">
        <f>IF(D5="","",SUM(D$4:D5))</f>
        <v/>
      </c>
      <c r="G5" s="57">
        <f>IF(F5&amp;E5="","",F5-E5)</f>
        <v/>
      </c>
      <c r="H5" s="58">
        <f>IFERROR(IF(G5="","",F5/E5),0)</f>
        <v/>
      </c>
    </row>
    <row r="6" ht="13.8" customHeight="1" s="39">
      <c r="B6" s="56" t="inlineStr">
        <is>
          <t>Mar</t>
        </is>
      </c>
      <c r="C6" s="57">
        <f>IF(Dashboard!C6="","",Dashboard!C6)</f>
        <v/>
      </c>
      <c r="D6" s="57">
        <f>IF(Dashboard!D6="","",Dashboard!D6)</f>
        <v/>
      </c>
      <c r="E6" s="57">
        <f>IF(C6="","",SUM(C$4:C6))</f>
        <v/>
      </c>
      <c r="F6" s="57">
        <f>IF(D6="","",SUM(D$4:D6))</f>
        <v/>
      </c>
      <c r="G6" s="57">
        <f>IF(F6&amp;E6="","",F6-E6)</f>
        <v/>
      </c>
      <c r="H6" s="58">
        <f>IFERROR(IF(G6="","",F6/E6),0)</f>
        <v/>
      </c>
    </row>
    <row r="7" ht="13.8" customHeight="1" s="39">
      <c r="B7" s="56" t="inlineStr">
        <is>
          <t>Apr</t>
        </is>
      </c>
      <c r="C7" s="57">
        <f>IF(Dashboard!C7="","",Dashboard!C7)</f>
        <v/>
      </c>
      <c r="D7" s="57">
        <f>IF(Dashboard!D7="","",Dashboard!D7)</f>
        <v/>
      </c>
      <c r="E7" s="57">
        <f>IF(C7="","",SUM(C$4:C7))</f>
        <v/>
      </c>
      <c r="F7" s="57">
        <f>IF(D7="","",SUM(D$4:D7))</f>
        <v/>
      </c>
      <c r="G7" s="57">
        <f>IF(F7&amp;E7="","",F7-E7)</f>
        <v/>
      </c>
      <c r="H7" s="58">
        <f>IFERROR(IF(G7="","",F7/E7),0)</f>
        <v/>
      </c>
    </row>
    <row r="8" ht="13.8" customHeight="1" s="39">
      <c r="B8" s="56" t="inlineStr">
        <is>
          <t>May</t>
        </is>
      </c>
      <c r="C8" s="57">
        <f>IF(Dashboard!C8="","",Dashboard!C8)</f>
        <v/>
      </c>
      <c r="D8" s="57">
        <f>IF(Dashboard!D8="","",Dashboard!D8)</f>
        <v/>
      </c>
      <c r="E8" s="57">
        <f>IF(C8="","",SUM(C$4:C8))</f>
        <v/>
      </c>
      <c r="F8" s="57">
        <f>IF(D8="","",SUM(D$4:D8))</f>
        <v/>
      </c>
      <c r="G8" s="57">
        <f>IF(F8&amp;E8="","",F8-E8)</f>
        <v/>
      </c>
      <c r="H8" s="58">
        <f>IFERROR(IF(G8="","",F8/E8),0)</f>
        <v/>
      </c>
    </row>
    <row r="9" ht="13.8" customHeight="1" s="39">
      <c r="B9" s="56" t="inlineStr">
        <is>
          <t>Jun</t>
        </is>
      </c>
      <c r="C9" s="57">
        <f>IF(Dashboard!C9="","",Dashboard!C9)</f>
        <v/>
      </c>
      <c r="D9" s="57">
        <f>IF(Dashboard!D9="","",Dashboard!D9)</f>
        <v/>
      </c>
      <c r="E9" s="57">
        <f>IF(C9="","",SUM(C$4:C9))</f>
        <v/>
      </c>
      <c r="F9" s="57">
        <f>IF(D9="","",SUM(D$4:D9))</f>
        <v/>
      </c>
      <c r="G9" s="57">
        <f>IF(F9&amp;E9="","",F9-E9)</f>
        <v/>
      </c>
      <c r="H9" s="58">
        <f>IFERROR(IF(G9="","",F9/E9),0)</f>
        <v/>
      </c>
    </row>
    <row r="10" ht="13.8" customHeight="1" s="39">
      <c r="B10" s="56" t="inlineStr">
        <is>
          <t>Jul</t>
        </is>
      </c>
      <c r="C10" s="57">
        <f>IF(Dashboard!C10="","",Dashboard!C10)</f>
        <v/>
      </c>
      <c r="D10" s="57">
        <f>IF(Dashboard!D10="","",Dashboard!D10)</f>
        <v/>
      </c>
      <c r="E10" s="57">
        <f>IF(C10="","",SUM(C$4:C10))</f>
        <v/>
      </c>
      <c r="F10" s="57">
        <f>IF(D10="","",SUM(D$4:D10))</f>
        <v/>
      </c>
      <c r="G10" s="57">
        <f>IF(F10&amp;E10="","",F10-E10)</f>
        <v/>
      </c>
      <c r="H10" s="58">
        <f>IFERROR(IF(G10="","",F10/E10),0)</f>
        <v/>
      </c>
    </row>
    <row r="11" ht="13.8" customHeight="1" s="39">
      <c r="B11" s="56" t="inlineStr">
        <is>
          <t>Aug</t>
        </is>
      </c>
      <c r="C11" s="57">
        <f>IF(Dashboard!C11="","",Dashboard!C11)</f>
        <v/>
      </c>
      <c r="D11" s="57">
        <f>IF(Dashboard!D11="","",Dashboard!D11)</f>
        <v/>
      </c>
      <c r="E11" s="57">
        <f>IF(C11="","",SUM(C$4:C11))</f>
        <v/>
      </c>
      <c r="F11" s="57">
        <f>IF(D11="","",SUM(D$4:D11))</f>
        <v/>
      </c>
      <c r="G11" s="57">
        <f>IF(F11&amp;E11="","",F11-E11)</f>
        <v/>
      </c>
      <c r="H11" s="58">
        <f>IFERROR(IF(G11="","",F11/E11),0)</f>
        <v/>
      </c>
    </row>
    <row r="12" ht="13.8" customHeight="1" s="39">
      <c r="B12" s="56" t="inlineStr">
        <is>
          <t>Sep</t>
        </is>
      </c>
      <c r="C12" s="57">
        <f>IF(Dashboard!C12="","",Dashboard!C12)</f>
        <v/>
      </c>
      <c r="D12" s="57">
        <f>IF(Dashboard!D12="","",Dashboard!D12)</f>
        <v/>
      </c>
      <c r="E12" s="57">
        <f>IF(C12="","",SUM(C$4:C12))</f>
        <v/>
      </c>
      <c r="F12" s="57">
        <f>IF(D12="","",SUM(D$4:D12))</f>
        <v/>
      </c>
      <c r="G12" s="57">
        <f>IF(F12&amp;E12="","",F12-E12)</f>
        <v/>
      </c>
      <c r="H12" s="58">
        <f>IFERROR(IF(G12="","",F12/E12),0)</f>
        <v/>
      </c>
    </row>
    <row r="13" ht="13.8" customHeight="1" s="39">
      <c r="B13" s="56" t="inlineStr">
        <is>
          <t>Oct</t>
        </is>
      </c>
      <c r="C13" s="57">
        <f>IF(Dashboard!C13="","",Dashboard!C13)</f>
        <v/>
      </c>
      <c r="D13" s="57">
        <f>IF(Dashboard!D13="","",Dashboard!D13)</f>
        <v/>
      </c>
      <c r="E13" s="57">
        <f>IF(C13="","",SUM(C$4:C13))</f>
        <v/>
      </c>
      <c r="F13" s="57">
        <f>IF(D13="","",SUM(D$4:D13))</f>
        <v/>
      </c>
      <c r="G13" s="57">
        <f>IF(F13&amp;E13="","",F13-E13)</f>
        <v/>
      </c>
      <c r="H13" s="58">
        <f>IFERROR(IF(G13="","",F13/E13),0)</f>
        <v/>
      </c>
    </row>
    <row r="14" ht="13.8" customHeight="1" s="39">
      <c r="B14" s="56" t="inlineStr">
        <is>
          <t>Nov</t>
        </is>
      </c>
      <c r="C14" s="57">
        <f>IF(Dashboard!C14="","",Dashboard!C14)</f>
        <v/>
      </c>
      <c r="D14" s="57">
        <f>IF(Dashboard!D14="","",Dashboard!D14)</f>
        <v/>
      </c>
      <c r="E14" s="57">
        <f>IF(C14="","",SUM(C$4:C14))</f>
        <v/>
      </c>
      <c r="F14" s="57">
        <f>IF(D14="","",SUM(D$4:D14))</f>
        <v/>
      </c>
      <c r="G14" s="57">
        <f>IF(F14&amp;E14="","",F14-E14)</f>
        <v/>
      </c>
      <c r="H14" s="58">
        <f>IFERROR(IF(G14="","",F14/E14),0)</f>
        <v/>
      </c>
    </row>
    <row r="15" ht="13.8" customHeight="1" s="39">
      <c r="B15" s="56" t="inlineStr">
        <is>
          <t>Dec</t>
        </is>
      </c>
      <c r="C15" s="57">
        <f>IF(Dashboard!C15="","",Dashboard!C15)</f>
        <v/>
      </c>
      <c r="D15" s="57">
        <f>IF(Dashboard!D15="","",Dashboard!D15)</f>
        <v/>
      </c>
      <c r="E15" s="57">
        <f>IF(C15="","",SUM(C$4:C15))</f>
        <v/>
      </c>
      <c r="F15" s="57">
        <f>IF(D15="","",SUM(D$4:D15))</f>
        <v/>
      </c>
      <c r="G15" s="57">
        <f>IF(F15&amp;E15="","",F15-E15)</f>
        <v/>
      </c>
      <c r="H15" s="58">
        <f>IFERROR(IF(G15="","",F15/E15),0)</f>
        <v/>
      </c>
    </row>
    <row r="16" ht="13.8" customHeight="1" s="39">
      <c r="B16" s="59" t="inlineStr">
        <is>
          <t>Total</t>
        </is>
      </c>
      <c r="C16" s="60">
        <f>SUM(C4:C15)</f>
        <v/>
      </c>
      <c r="D16" s="60">
        <f>SUM(D4:D15)</f>
        <v/>
      </c>
      <c r="E16" s="60" t="n"/>
      <c r="F16" s="60" t="n"/>
      <c r="G16" s="60" t="n"/>
      <c r="H16" s="61" t="n"/>
    </row>
  </sheetData>
  <printOptions horizontalCentered="0" verticalCentered="0" headings="0" gridLines="0" gridLinesSet="1"/>
  <pageMargins left="0.7" right="0.7" top="0.3" bottom="0.3" header="0.3" footer="0.3"/>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5.xml><?xml version="1.0" encoding="utf-8"?>
<worksheet xmlns="http://schemas.openxmlformats.org/spreadsheetml/2006/main">
  <sheetPr filterMode="0">
    <outlinePr summaryBelow="1" summaryRight="1"/>
    <pageSetUpPr fitToPage="0"/>
  </sheetPr>
  <dimension ref="A1:C25"/>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65234375" defaultRowHeight="15" zeroHeight="0" outlineLevelRow="0"/>
  <cols>
    <col width="21.22" customWidth="1" style="38" min="1" max="1"/>
    <col width="8.65" customWidth="1" style="38" min="2" max="16384"/>
  </cols>
  <sheetData>
    <row r="1" ht="22.05" customHeight="1" s="39">
      <c r="A1" s="62" t="inlineStr">
        <is>
          <t>Budget vs Actual Analysis</t>
        </is>
      </c>
    </row>
    <row r="2" ht="13.8" customHeight="1" s="39"/>
    <row r="3" ht="13.8" customHeight="1" s="39">
      <c r="A3" s="52" t="inlineStr">
        <is>
          <t>Overall Performance</t>
        </is>
      </c>
    </row>
    <row r="4" ht="13.8" customHeight="1" s="39">
      <c r="A4" s="63" t="n"/>
    </row>
    <row r="5" ht="13.8" customHeight="1" s="39">
      <c r="A5" s="63" t="inlineStr">
        <is>
          <t>Total Budget:</t>
        </is>
      </c>
      <c r="B5" s="64">
        <f>Categorywise_Variance!F16</f>
        <v/>
      </c>
      <c r="C5" s="52" t="inlineStr">
        <is>
          <t>Lacs</t>
        </is>
      </c>
    </row>
    <row r="6" ht="13.8" customHeight="1" s="39">
      <c r="A6" s="63" t="inlineStr">
        <is>
          <t>Total Actual Sales:</t>
        </is>
      </c>
      <c r="B6" s="64">
        <f>Categorywise_Variance!K16</f>
        <v/>
      </c>
      <c r="C6" s="52" t="inlineStr">
        <is>
          <t>Lacs</t>
        </is>
      </c>
    </row>
    <row r="7" ht="13.8" customHeight="1" s="39">
      <c r="A7" s="63" t="inlineStr">
        <is>
          <t>Overall Achievement:</t>
        </is>
      </c>
      <c r="B7" s="65">
        <f>Categorywise_Variance!U16</f>
        <v/>
      </c>
      <c r="C7" s="52" t="inlineStr">
        <is>
          <t>Lacs</t>
        </is>
      </c>
    </row>
    <row r="8" ht="13.8" customHeight="1" s="39">
      <c r="A8" s="63" t="inlineStr">
        <is>
          <t>Overall Variance:</t>
        </is>
      </c>
      <c r="B8" s="64">
        <f>Categorywise_Variance!P16</f>
        <v/>
      </c>
      <c r="C8" s="52" t="inlineStr">
        <is>
          <t>Lacs</t>
        </is>
      </c>
    </row>
    <row r="9" ht="13.8" customHeight="1" s="39"/>
    <row r="10" ht="13.8" customHeight="1" s="39">
      <c r="A10" s="52" t="inlineStr">
        <is>
          <t>Key Observations</t>
        </is>
      </c>
    </row>
    <row r="11" ht="13.8" customHeight="1" s="39">
      <c r="A11" s="63" t="n"/>
    </row>
    <row r="12" ht="14.9" customHeight="1" s="39">
      <c r="A12" s="63" t="inlineStr">
        <is>
          <t>Sales remained below budget during January to April, resulting in a significant negative variance.</t>
        </is>
      </c>
    </row>
    <row r="13" ht="14.9" customHeight="1" s="39">
      <c r="A13" s="63" t="inlineStr">
        <is>
          <t>Performance improved from May onwards, with actual sales exceeding the budget in May, June, September, October, and November.</t>
        </is>
      </c>
    </row>
    <row r="14" ht="14.9" customHeight="1" s="39">
      <c r="A14" s="66" t="inlineStr">
        <is>
          <t>November recorded the highest positive variance (+255.77 Lacs) and 166% achievement.</t>
        </is>
      </c>
    </row>
    <row r="15" ht="14.9" customHeight="1" s="39">
      <c r="A15" s="66" t="inlineStr">
        <is>
          <t>January showed the largest negative variance (-213.28 Lacs) with only 53% achievement.</t>
        </is>
      </c>
    </row>
    <row r="16" ht="14.9" customHeight="1" s="39">
      <c r="A16" s="63" t="inlineStr">
        <is>
          <t>Despite strong performance in some months, the year closed at 96% of the annual budget.</t>
        </is>
      </c>
    </row>
    <row r="17" ht="13.8" customHeight="1" s="39"/>
    <row r="18" ht="13.8" customHeight="1" s="39">
      <c r="A18" s="52" t="inlineStr">
        <is>
          <t>Category-wise Insights</t>
        </is>
      </c>
    </row>
    <row r="19" ht="13.8" customHeight="1" s="39">
      <c r="A19" s="63" t="n"/>
    </row>
    <row r="20" ht="14.9" customHeight="1" s="39">
      <c r="A20" s="66" t="inlineStr">
        <is>
          <t>Export: Underperformed against budget in most months.</t>
        </is>
      </c>
    </row>
    <row r="21" ht="14.9" customHeight="1" s="39">
      <c r="A21" s="66" t="inlineStr">
        <is>
          <t>B2B: Performance was inconsistent throughout the year.</t>
        </is>
      </c>
    </row>
    <row r="22" ht="14.9" customHeight="1" s="39">
      <c r="A22" s="66" t="inlineStr">
        <is>
          <t>B2C: Consistently exceeded budget and was the strongest-performing sales channel.</t>
        </is>
      </c>
    </row>
    <row r="23" ht="13.8" customHeight="1" s="39"/>
    <row r="24" ht="13.8" customHeight="1" s="39">
      <c r="A24" s="52" t="inlineStr">
        <is>
          <t>Conclusion</t>
        </is>
      </c>
    </row>
    <row r="25" ht="14.9" customHeight="1" s="39">
      <c r="A25" s="38" t="inlineStr">
        <is>
          <t>The company achieved 96% of its annual sales budget. Early-year underperformance affected the overall result, while strong growth in the second half, particularly in October and November, significantly reduced the gap. Future focus should be on improving Export sales and maintaining the strong growth trend in the B2C segment.</t>
        </is>
      </c>
    </row>
  </sheetData>
  <printOptions horizontalCentered="0" verticalCentered="0" headings="0" gridLines="0" gridLinesSet="1"/>
  <pageMargins left="0.7" right="0.7" top="0.3" bottom="0.3" header="0.3" footer="0.3"/>
  <pageSetup orientation="portrait" paperSize="9" scale="100" fitToHeight="1" fitToWidth="1" firstPageNumber="1" useFirstPageNumber="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B2:AC16"/>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65234375" defaultRowHeight="15" zeroHeight="0" outlineLevelRow="0"/>
  <cols>
    <col width="4.87" customWidth="1" style="38" min="1" max="1"/>
    <col width="8.92" customWidth="1" style="38" min="2" max="2"/>
    <col width="6.62" customWidth="1" style="38" min="3" max="3"/>
    <col width="9.6" customWidth="1" style="38" min="4" max="4"/>
    <col width="8.109999999999999" customWidth="1" style="38" min="5" max="5"/>
    <col width="7.57" customWidth="1" style="38" min="6" max="6"/>
    <col width="8.109999999999999" customWidth="1" style="38" min="7" max="7"/>
    <col hidden="1" width="9.460000000000001" customWidth="1" style="38" min="8" max="8"/>
    <col width="1.08" customWidth="1" style="38" min="9" max="9"/>
    <col width="6.76" customWidth="1" style="38" min="10" max="10"/>
    <col width="8.65" customWidth="1" style="38" min="11" max="14"/>
    <col hidden="1" width="11.53" customWidth="1" style="38" min="15" max="15"/>
    <col width="0.9399999999999999" customWidth="1" style="38" min="16" max="16"/>
    <col width="7.3" customWidth="1" style="38" min="17" max="17"/>
    <col width="7.03" customWidth="1" style="38" min="18" max="18"/>
    <col width="8.65" customWidth="1" style="38" min="19" max="19"/>
    <col width="5.67" customWidth="1" style="38" min="20" max="20"/>
    <col width="7.7" customWidth="1" style="38" min="21" max="21"/>
    <col hidden="1" width="10.13" customWidth="1" style="38" min="22" max="22"/>
    <col width="0.8100000000000001" customWidth="1" style="38" min="23" max="23"/>
    <col width="5.67" customWidth="1" style="38" min="24" max="24"/>
    <col width="8.65" customWidth="1" style="38" min="25" max="28"/>
    <col hidden="1" width="11.53" customWidth="1" style="38" min="29" max="29"/>
    <col width="8.65" customWidth="1" style="38" min="30" max="16384"/>
  </cols>
  <sheetData>
    <row r="1" ht="13.8" customHeight="1" s="39"/>
    <row r="2" ht="13.8" customHeight="1" s="39">
      <c r="B2" s="59" t="inlineStr">
        <is>
          <t>IN Lacs.</t>
        </is>
      </c>
      <c r="C2" s="67" t="inlineStr">
        <is>
          <t>Budgeted</t>
        </is>
      </c>
      <c r="D2" s="46" t="n"/>
      <c r="E2" s="46" t="n"/>
      <c r="F2" s="46" t="n"/>
      <c r="G2" s="46" t="n"/>
      <c r="H2" s="47" t="n"/>
      <c r="I2" s="48" t="n"/>
      <c r="J2" s="67" t="inlineStr">
        <is>
          <t>Actual</t>
        </is>
      </c>
      <c r="K2" s="46" t="n"/>
      <c r="L2" s="46" t="n"/>
      <c r="M2" s="46" t="n"/>
      <c r="N2" s="46" t="n"/>
      <c r="O2" s="47" t="n"/>
      <c r="P2" s="48" t="n"/>
      <c r="Q2" s="67" t="inlineStr">
        <is>
          <t>Variance</t>
        </is>
      </c>
      <c r="R2" s="46" t="n"/>
      <c r="S2" s="46" t="n"/>
      <c r="T2" s="46" t="n"/>
      <c r="U2" s="46" t="n"/>
      <c r="V2" s="47" t="n"/>
      <c r="W2" s="48" t="n"/>
      <c r="X2" s="67" t="inlineStr">
        <is>
          <t>Achivement %</t>
        </is>
      </c>
      <c r="Y2" s="46" t="n"/>
      <c r="Z2" s="46" t="n"/>
      <c r="AA2" s="46" t="n"/>
      <c r="AB2" s="46" t="n"/>
      <c r="AC2" s="47" t="n"/>
    </row>
    <row r="3" ht="15" customHeight="1" s="39">
      <c r="B3" s="59" t="inlineStr">
        <is>
          <t>Row Labels</t>
        </is>
      </c>
      <c r="C3" s="59" t="inlineStr">
        <is>
          <t>Qty</t>
        </is>
      </c>
      <c r="D3" s="59" t="inlineStr">
        <is>
          <t xml:space="preserve"> Gross Wt.</t>
        </is>
      </c>
      <c r="E3" s="59" t="inlineStr">
        <is>
          <t>Net Wt.</t>
        </is>
      </c>
      <c r="F3" s="59" t="inlineStr">
        <is>
          <t xml:space="preserve"> Dia Wt.</t>
        </is>
      </c>
      <c r="G3" s="59" t="inlineStr">
        <is>
          <t xml:space="preserve"> CLS Wt.</t>
        </is>
      </c>
      <c r="H3" s="59" t="inlineStr">
        <is>
          <t xml:space="preserve"> Value</t>
        </is>
      </c>
      <c r="I3" s="48" t="n"/>
      <c r="J3" s="59" t="inlineStr">
        <is>
          <t>Qty</t>
        </is>
      </c>
      <c r="K3" s="59" t="inlineStr">
        <is>
          <t xml:space="preserve"> Gross Wt.</t>
        </is>
      </c>
      <c r="L3" s="59" t="inlineStr">
        <is>
          <t>Net Wt.</t>
        </is>
      </c>
      <c r="M3" s="59" t="inlineStr">
        <is>
          <t xml:space="preserve"> Dia Wt.</t>
        </is>
      </c>
      <c r="N3" s="59" t="inlineStr">
        <is>
          <t xml:space="preserve"> CLS Wt.</t>
        </is>
      </c>
      <c r="O3" s="59" t="inlineStr">
        <is>
          <t xml:space="preserve"> Value</t>
        </is>
      </c>
      <c r="P3" s="48" t="n"/>
      <c r="Q3" s="59" t="inlineStr">
        <is>
          <t>Qty</t>
        </is>
      </c>
      <c r="R3" s="59" t="inlineStr">
        <is>
          <t xml:space="preserve"> Gross Wt.</t>
        </is>
      </c>
      <c r="S3" s="59" t="inlineStr">
        <is>
          <t>Net Wt.</t>
        </is>
      </c>
      <c r="T3" s="59" t="inlineStr">
        <is>
          <t xml:space="preserve"> Dia Wt.</t>
        </is>
      </c>
      <c r="U3" s="59" t="inlineStr">
        <is>
          <t xml:space="preserve"> CLS Wt.</t>
        </is>
      </c>
      <c r="V3" s="59" t="inlineStr">
        <is>
          <t xml:space="preserve"> Value</t>
        </is>
      </c>
      <c r="W3" s="48" t="n"/>
      <c r="X3" s="59" t="inlineStr">
        <is>
          <t>Qty</t>
        </is>
      </c>
      <c r="Y3" s="59" t="inlineStr">
        <is>
          <t xml:space="preserve"> Gross Wt.</t>
        </is>
      </c>
      <c r="Z3" s="59" t="inlineStr">
        <is>
          <t>Net Wt.</t>
        </is>
      </c>
      <c r="AA3" s="59" t="inlineStr">
        <is>
          <t xml:space="preserve"> Dia Wt.</t>
        </is>
      </c>
      <c r="AB3" s="59" t="inlineStr">
        <is>
          <t xml:space="preserve"> CLS Wt.</t>
        </is>
      </c>
      <c r="AC3" s="59" t="inlineStr">
        <is>
          <t xml:space="preserve"> Value</t>
        </is>
      </c>
    </row>
    <row r="4" ht="14.9" customHeight="1" s="39">
      <c r="B4" s="40" t="inlineStr">
        <is>
          <t>Jan</t>
        </is>
      </c>
      <c r="C4" s="68" t="n">
        <v>27051.8</v>
      </c>
      <c r="D4" s="41" t="n">
        <v>28982.7903</v>
      </c>
      <c r="E4" s="41" t="n">
        <v>25786.9832</v>
      </c>
      <c r="F4" s="41" t="n">
        <v>261.5657</v>
      </c>
      <c r="G4" s="41" t="n">
        <v>12842.2775</v>
      </c>
      <c r="H4" s="68" t="n">
        <v>46345742.7333165</v>
      </c>
      <c r="I4" s="48" t="n"/>
      <c r="J4" s="69" t="n">
        <v>8770</v>
      </c>
      <c r="K4" s="69" t="n">
        <v>23381.681</v>
      </c>
      <c r="L4" s="69" t="n">
        <v>14248.359</v>
      </c>
      <c r="M4" s="69" t="n">
        <v>345.971</v>
      </c>
      <c r="N4" s="69" t="n">
        <v>29337.254</v>
      </c>
      <c r="O4" s="69" t="n">
        <v>23800044.555</v>
      </c>
      <c r="P4" s="48" t="n"/>
      <c r="Q4" s="70">
        <f>J4-C4</f>
        <v/>
      </c>
      <c r="R4" s="70">
        <f>K4-D4</f>
        <v/>
      </c>
      <c r="S4" s="70">
        <f>L4-E4</f>
        <v/>
      </c>
      <c r="T4" s="70">
        <f>M4-F4</f>
        <v/>
      </c>
      <c r="U4" s="70">
        <f>N4-G4</f>
        <v/>
      </c>
      <c r="V4" s="70">
        <f>O4-H4</f>
        <v/>
      </c>
      <c r="W4" s="48" t="n"/>
      <c r="X4" s="42">
        <f>IFERROR(J4/C4,0)</f>
        <v/>
      </c>
      <c r="Y4" s="42">
        <f>IFERROR(K4/D4,0)</f>
        <v/>
      </c>
      <c r="Z4" s="42">
        <f>IFERROR(L4/E4,0)</f>
        <v/>
      </c>
      <c r="AA4" s="42">
        <f>IFERROR(M4/F4,0)</f>
        <v/>
      </c>
      <c r="AB4" s="42">
        <f>IFERROR(N4/G4,0)</f>
        <v/>
      </c>
      <c r="AC4" s="42">
        <f>IFERROR(O4/H4,0)</f>
        <v/>
      </c>
    </row>
    <row r="5" ht="14.9" customHeight="1" s="39">
      <c r="B5" s="40" t="inlineStr">
        <is>
          <t>Feb</t>
        </is>
      </c>
      <c r="C5" s="68" t="n">
        <v>19151.2</v>
      </c>
      <c r="D5" s="41" t="n">
        <v>13852.0022</v>
      </c>
      <c r="E5" s="41" t="n">
        <v>12124.8148</v>
      </c>
      <c r="F5" s="41" t="n">
        <v>215.5881</v>
      </c>
      <c r="G5" s="41" t="n">
        <v>16327.0151</v>
      </c>
      <c r="H5" s="68" t="n">
        <v>24548471.4559666</v>
      </c>
      <c r="I5" s="48" t="n"/>
      <c r="J5" s="69" t="n">
        <v>15342</v>
      </c>
      <c r="K5" s="69" t="n">
        <v>11271.049</v>
      </c>
      <c r="L5" s="69" t="n">
        <v>9866.062</v>
      </c>
      <c r="M5" s="69" t="n">
        <v>45.05</v>
      </c>
      <c r="N5" s="69" t="n">
        <v>8288.384</v>
      </c>
      <c r="O5" s="69" t="n">
        <v>11797586.4585</v>
      </c>
      <c r="P5" s="48" t="n"/>
      <c r="Q5" s="70">
        <f>J5-C5</f>
        <v/>
      </c>
      <c r="R5" s="70">
        <f>K5-D5</f>
        <v/>
      </c>
      <c r="S5" s="70">
        <f>L5-E5</f>
        <v/>
      </c>
      <c r="T5" s="70">
        <f>M5-F5</f>
        <v/>
      </c>
      <c r="U5" s="70">
        <f>N5-G5</f>
        <v/>
      </c>
      <c r="V5" s="70">
        <f>O5-H5</f>
        <v/>
      </c>
      <c r="W5" s="48" t="n"/>
      <c r="X5" s="42">
        <f>IFERROR(J5/C5,0)</f>
        <v/>
      </c>
      <c r="Y5" s="42">
        <f>IFERROR(K5/D5,0)</f>
        <v/>
      </c>
      <c r="Z5" s="42">
        <f>IFERROR(L5/E5,0)</f>
        <v/>
      </c>
      <c r="AA5" s="42">
        <f>IFERROR(M5/F5,0)</f>
        <v/>
      </c>
      <c r="AB5" s="42">
        <f>IFERROR(N5/G5,0)</f>
        <v/>
      </c>
      <c r="AC5" s="42">
        <f>IFERROR(O5/H5,0)</f>
        <v/>
      </c>
    </row>
    <row r="6" ht="14.9" customHeight="1" s="39">
      <c r="B6" s="40" t="inlineStr">
        <is>
          <t>Mar</t>
        </is>
      </c>
      <c r="C6" s="68" t="n">
        <v>8493.4</v>
      </c>
      <c r="D6" s="41" t="n">
        <v>22785.3465</v>
      </c>
      <c r="E6" s="41" t="n">
        <v>19186.3595</v>
      </c>
      <c r="F6" s="41" t="n">
        <v>152.6958</v>
      </c>
      <c r="G6" s="41" t="n">
        <v>12988.9828</v>
      </c>
      <c r="H6" s="68" t="n">
        <v>30884193.3394939</v>
      </c>
      <c r="I6" s="48" t="n"/>
      <c r="J6" s="68" t="n"/>
      <c r="K6" s="41" t="n"/>
      <c r="L6" s="41" t="n"/>
      <c r="M6" s="41" t="n"/>
      <c r="N6" s="41" t="n"/>
      <c r="O6" s="68" t="n"/>
      <c r="P6" s="48" t="n"/>
      <c r="Q6" s="70">
        <f>J6-C6</f>
        <v/>
      </c>
      <c r="R6" s="70">
        <f>K6-D6</f>
        <v/>
      </c>
      <c r="S6" s="70">
        <f>L6-E6</f>
        <v/>
      </c>
      <c r="T6" s="70">
        <f>M6-F6</f>
        <v/>
      </c>
      <c r="U6" s="70">
        <f>N6-G6</f>
        <v/>
      </c>
      <c r="V6" s="70">
        <f>O6-H6</f>
        <v/>
      </c>
      <c r="W6" s="48" t="n"/>
      <c r="X6" s="42">
        <f>IFERROR(J6/C6,0)</f>
        <v/>
      </c>
      <c r="Y6" s="42">
        <f>IFERROR(K6/D6,0)</f>
        <v/>
      </c>
      <c r="Z6" s="42">
        <f>IFERROR(L6/E6,0)</f>
        <v/>
      </c>
      <c r="AA6" s="42">
        <f>IFERROR(M6/F6,0)</f>
        <v/>
      </c>
      <c r="AB6" s="42">
        <f>IFERROR(N6/G6,0)</f>
        <v/>
      </c>
      <c r="AC6" s="42">
        <f>IFERROR(O6/H6,0)</f>
        <v/>
      </c>
    </row>
    <row r="7" ht="14.9" customHeight="1" s="39">
      <c r="B7" s="40" t="inlineStr">
        <is>
          <t>Apr</t>
        </is>
      </c>
      <c r="C7" s="68" t="n">
        <v>5469.4</v>
      </c>
      <c r="D7" s="41" t="n">
        <v>11044.8616</v>
      </c>
      <c r="E7" s="41" t="n">
        <v>9505.940699999999</v>
      </c>
      <c r="F7" s="41" t="n">
        <v>115.5662</v>
      </c>
      <c r="G7" s="41" t="n">
        <v>6421.913</v>
      </c>
      <c r="H7" s="68" t="n">
        <v>24322951.3638298</v>
      </c>
      <c r="I7" s="48" t="n"/>
      <c r="J7" s="68" t="n"/>
      <c r="K7" s="41" t="n"/>
      <c r="L7" s="41" t="n"/>
      <c r="M7" s="41" t="n"/>
      <c r="N7" s="41" t="n"/>
      <c r="O7" s="68" t="n"/>
      <c r="P7" s="48" t="n"/>
      <c r="Q7" s="70">
        <f>J7-C7</f>
        <v/>
      </c>
      <c r="R7" s="70">
        <f>K7-D7</f>
        <v/>
      </c>
      <c r="S7" s="70">
        <f>L7-E7</f>
        <v/>
      </c>
      <c r="T7" s="70">
        <f>M7-F7</f>
        <v/>
      </c>
      <c r="U7" s="70">
        <f>N7-G7</f>
        <v/>
      </c>
      <c r="V7" s="70">
        <f>O7-H7</f>
        <v/>
      </c>
      <c r="W7" s="48" t="n"/>
      <c r="X7" s="42">
        <f>IFERROR(J7/C7,0)</f>
        <v/>
      </c>
      <c r="Y7" s="42">
        <f>IFERROR(K7/D7,0)</f>
        <v/>
      </c>
      <c r="Z7" s="42">
        <f>IFERROR(L7/E7,0)</f>
        <v/>
      </c>
      <c r="AA7" s="42">
        <f>IFERROR(M7/F7,0)</f>
        <v/>
      </c>
      <c r="AB7" s="42">
        <f>IFERROR(N7/G7,0)</f>
        <v/>
      </c>
      <c r="AC7" s="42">
        <f>IFERROR(O7/H7,0)</f>
        <v/>
      </c>
    </row>
    <row r="8" ht="14.9" customHeight="1" s="39">
      <c r="B8" s="40" t="inlineStr">
        <is>
          <t>May</t>
        </is>
      </c>
      <c r="C8" s="68" t="n">
        <v>18744</v>
      </c>
      <c r="D8" s="41" t="n">
        <v>18701.2977</v>
      </c>
      <c r="E8" s="41" t="n">
        <v>16169.6325</v>
      </c>
      <c r="F8" s="41" t="n">
        <v>78.3629</v>
      </c>
      <c r="G8" s="41" t="n">
        <v>13306.0667</v>
      </c>
      <c r="H8" s="68" t="n">
        <v>21363521.5361865</v>
      </c>
      <c r="I8" s="48" t="n"/>
      <c r="J8" s="68" t="n"/>
      <c r="K8" s="41" t="n"/>
      <c r="L8" s="41" t="n"/>
      <c r="M8" s="41" t="n"/>
      <c r="N8" s="41" t="n"/>
      <c r="O8" s="68" t="n"/>
      <c r="P8" s="48" t="n"/>
      <c r="Q8" s="70">
        <f>J8-C8</f>
        <v/>
      </c>
      <c r="R8" s="70">
        <f>K8-D8</f>
        <v/>
      </c>
      <c r="S8" s="70">
        <f>L8-E8</f>
        <v/>
      </c>
      <c r="T8" s="70">
        <f>M8-F8</f>
        <v/>
      </c>
      <c r="U8" s="70">
        <f>N8-G8</f>
        <v/>
      </c>
      <c r="V8" s="70">
        <f>O8-H8</f>
        <v/>
      </c>
      <c r="W8" s="48" t="n"/>
      <c r="X8" s="42">
        <f>IFERROR(J8/C8,0)</f>
        <v/>
      </c>
      <c r="Y8" s="42">
        <f>IFERROR(K8/D8,0)</f>
        <v/>
      </c>
      <c r="Z8" s="42">
        <f>IFERROR(L8/E8,0)</f>
        <v/>
      </c>
      <c r="AA8" s="42">
        <f>IFERROR(M8/F8,0)</f>
        <v/>
      </c>
      <c r="AB8" s="42">
        <f>IFERROR(N8/G8,0)</f>
        <v/>
      </c>
      <c r="AC8" s="42">
        <f>IFERROR(O8/H8,0)</f>
        <v/>
      </c>
    </row>
    <row r="9" ht="14.9" customHeight="1" s="39">
      <c r="B9" s="40" t="inlineStr">
        <is>
          <t>Jun</t>
        </is>
      </c>
      <c r="C9" s="68" t="n">
        <v>10936.3</v>
      </c>
      <c r="D9" s="41" t="n">
        <v>11773.933</v>
      </c>
      <c r="E9" s="41" t="n">
        <v>9852.2822</v>
      </c>
      <c r="F9" s="41" t="n">
        <v>165.6171</v>
      </c>
      <c r="G9" s="41" t="n">
        <v>10003.4977</v>
      </c>
      <c r="H9" s="68" t="n">
        <v>20504860.9141714</v>
      </c>
      <c r="I9" s="48" t="n"/>
      <c r="J9" s="68" t="n"/>
      <c r="K9" s="41" t="n"/>
      <c r="L9" s="41" t="n"/>
      <c r="M9" s="41" t="n"/>
      <c r="N9" s="41" t="n"/>
      <c r="O9" s="68" t="n"/>
      <c r="P9" s="48" t="n"/>
      <c r="Q9" s="70">
        <f>J9-C9</f>
        <v/>
      </c>
      <c r="R9" s="70">
        <f>K9-D9</f>
        <v/>
      </c>
      <c r="S9" s="70">
        <f>L9-E9</f>
        <v/>
      </c>
      <c r="T9" s="70">
        <f>M9-F9</f>
        <v/>
      </c>
      <c r="U9" s="70">
        <f>N9-G9</f>
        <v/>
      </c>
      <c r="V9" s="70">
        <f>O9-H9</f>
        <v/>
      </c>
      <c r="W9" s="48" t="n"/>
      <c r="X9" s="42">
        <f>IFERROR(J9/C9,0)</f>
        <v/>
      </c>
      <c r="Y9" s="42">
        <f>IFERROR(K9/D9,0)</f>
        <v/>
      </c>
      <c r="Z9" s="42">
        <f>IFERROR(L9/E9,0)</f>
        <v/>
      </c>
      <c r="AA9" s="42">
        <f>IFERROR(M9/F9,0)</f>
        <v/>
      </c>
      <c r="AB9" s="42">
        <f>IFERROR(N9/G9,0)</f>
        <v/>
      </c>
      <c r="AC9" s="42">
        <f>IFERROR(O9/H9,0)</f>
        <v/>
      </c>
    </row>
    <row r="10" ht="14.9" customHeight="1" s="39">
      <c r="B10" s="40" t="inlineStr">
        <is>
          <t>Jul</t>
        </is>
      </c>
      <c r="C10" s="68" t="n">
        <v>18377.4</v>
      </c>
      <c r="D10" s="41" t="n">
        <v>24439.2249</v>
      </c>
      <c r="E10" s="41" t="n">
        <v>20814.1041</v>
      </c>
      <c r="F10" s="41" t="n">
        <v>261.0284</v>
      </c>
      <c r="G10" s="41" t="n">
        <v>17826.7604</v>
      </c>
      <c r="H10" s="68" t="n">
        <v>33996363.4390853</v>
      </c>
      <c r="I10" s="48" t="n"/>
      <c r="J10" s="68" t="n"/>
      <c r="K10" s="41" t="n"/>
      <c r="L10" s="41" t="n"/>
      <c r="M10" s="41" t="n"/>
      <c r="N10" s="41" t="n"/>
      <c r="O10" s="68" t="n"/>
      <c r="P10" s="48" t="n"/>
      <c r="Q10" s="70">
        <f>J10-C10</f>
        <v/>
      </c>
      <c r="R10" s="70">
        <f>K10-D10</f>
        <v/>
      </c>
      <c r="S10" s="70">
        <f>L10-E10</f>
        <v/>
      </c>
      <c r="T10" s="70">
        <f>M10-F10</f>
        <v/>
      </c>
      <c r="U10" s="70">
        <f>N10-G10</f>
        <v/>
      </c>
      <c r="V10" s="70">
        <f>O10-H10</f>
        <v/>
      </c>
      <c r="W10" s="48" t="n"/>
      <c r="X10" s="42">
        <f>IFERROR(J10/C10,0)</f>
        <v/>
      </c>
      <c r="Y10" s="42">
        <f>IFERROR(K10/D10,0)</f>
        <v/>
      </c>
      <c r="Z10" s="42">
        <f>IFERROR(L10/E10,0)</f>
        <v/>
      </c>
      <c r="AA10" s="42">
        <f>IFERROR(M10/F10,0)</f>
        <v/>
      </c>
      <c r="AB10" s="42">
        <f>IFERROR(N10/G10,0)</f>
        <v/>
      </c>
      <c r="AC10" s="42">
        <f>IFERROR(O10/H10,0)</f>
        <v/>
      </c>
    </row>
    <row r="11" ht="14.9" customHeight="1" s="39">
      <c r="B11" s="40" t="inlineStr">
        <is>
          <t>Aug</t>
        </is>
      </c>
      <c r="C11" s="68" t="n">
        <v>10525</v>
      </c>
      <c r="D11" s="41" t="n">
        <v>17415.7967</v>
      </c>
      <c r="E11" s="41" t="n">
        <v>13244.7558</v>
      </c>
      <c r="F11" s="41" t="n">
        <v>165.0642</v>
      </c>
      <c r="G11" s="41" t="n">
        <v>19989.2398</v>
      </c>
      <c r="H11" s="68" t="n">
        <v>37427525.3006274</v>
      </c>
      <c r="I11" s="48" t="n"/>
      <c r="J11" s="68" t="n"/>
      <c r="K11" s="41" t="n"/>
      <c r="L11" s="41" t="n"/>
      <c r="M11" s="41" t="n"/>
      <c r="N11" s="41" t="n"/>
      <c r="O11" s="68" t="n"/>
      <c r="P11" s="48" t="n"/>
      <c r="Q11" s="70">
        <f>J11-C11</f>
        <v/>
      </c>
      <c r="R11" s="70">
        <f>K11-D11</f>
        <v/>
      </c>
      <c r="S11" s="70">
        <f>L11-E11</f>
        <v/>
      </c>
      <c r="T11" s="70">
        <f>M11-F11</f>
        <v/>
      </c>
      <c r="U11" s="70">
        <f>N11-G11</f>
        <v/>
      </c>
      <c r="V11" s="70">
        <f>O11-H11</f>
        <v/>
      </c>
      <c r="W11" s="48" t="n"/>
      <c r="X11" s="42">
        <f>IFERROR(J11/C11,0)</f>
        <v/>
      </c>
      <c r="Y11" s="42">
        <f>IFERROR(K11/D11,0)</f>
        <v/>
      </c>
      <c r="Z11" s="42">
        <f>IFERROR(L11/E11,0)</f>
        <v/>
      </c>
      <c r="AA11" s="42">
        <f>IFERROR(M11/F11,0)</f>
        <v/>
      </c>
      <c r="AB11" s="42">
        <f>IFERROR(N11/G11,0)</f>
        <v/>
      </c>
      <c r="AC11" s="42">
        <f>IFERROR(O11/H11,0)</f>
        <v/>
      </c>
    </row>
    <row r="12" ht="14.9" customHeight="1" s="39">
      <c r="B12" s="40" t="inlineStr">
        <is>
          <t>Sep</t>
        </is>
      </c>
      <c r="C12" s="68" t="n">
        <v>11949.4</v>
      </c>
      <c r="D12" s="41" t="n">
        <v>25902.577</v>
      </c>
      <c r="E12" s="41" t="n">
        <v>21489.302</v>
      </c>
      <c r="F12" s="41" t="n">
        <v>202.1134</v>
      </c>
      <c r="G12" s="41" t="n">
        <v>20168.8016</v>
      </c>
      <c r="H12" s="68" t="n">
        <v>34100574.0077057</v>
      </c>
      <c r="I12" s="48" t="n"/>
      <c r="J12" s="68" t="n"/>
      <c r="K12" s="41" t="n"/>
      <c r="L12" s="41" t="n"/>
      <c r="M12" s="41" t="n"/>
      <c r="N12" s="41" t="n"/>
      <c r="O12" s="68" t="n"/>
      <c r="P12" s="48" t="n"/>
      <c r="Q12" s="70">
        <f>J12-C12</f>
        <v/>
      </c>
      <c r="R12" s="70">
        <f>K12-D12</f>
        <v/>
      </c>
      <c r="S12" s="70">
        <f>L12-E12</f>
        <v/>
      </c>
      <c r="T12" s="70">
        <f>M12-F12</f>
        <v/>
      </c>
      <c r="U12" s="70">
        <f>N12-G12</f>
        <v/>
      </c>
      <c r="V12" s="70">
        <f>O12-H12</f>
        <v/>
      </c>
      <c r="W12" s="48" t="n"/>
      <c r="X12" s="42">
        <f>IFERROR(J12/C12,0)</f>
        <v/>
      </c>
      <c r="Y12" s="42">
        <f>IFERROR(K12/D12,0)</f>
        <v/>
      </c>
      <c r="Z12" s="42">
        <f>IFERROR(L12/E12,0)</f>
        <v/>
      </c>
      <c r="AA12" s="42">
        <f>IFERROR(M12/F12,0)</f>
        <v/>
      </c>
      <c r="AB12" s="42">
        <f>IFERROR(N12/G12,0)</f>
        <v/>
      </c>
      <c r="AC12" s="42">
        <f>IFERROR(O12/H12,0)</f>
        <v/>
      </c>
    </row>
    <row r="13" ht="14.9" customHeight="1" s="39">
      <c r="B13" s="40" t="inlineStr">
        <is>
          <t>Oct</t>
        </is>
      </c>
      <c r="C13" s="68" t="n">
        <v>6832.5</v>
      </c>
      <c r="D13" s="41" t="n">
        <v>31173.676</v>
      </c>
      <c r="E13" s="41" t="n">
        <v>14734.7424</v>
      </c>
      <c r="F13" s="41" t="n">
        <v>214.3215</v>
      </c>
      <c r="G13" s="41" t="n">
        <v>7218.7267</v>
      </c>
      <c r="H13" s="68" t="n">
        <v>32403049.5403748</v>
      </c>
      <c r="I13" s="48" t="n"/>
      <c r="J13" s="68" t="n"/>
      <c r="K13" s="41" t="n"/>
      <c r="L13" s="41" t="n"/>
      <c r="M13" s="41" t="n"/>
      <c r="N13" s="41" t="n"/>
      <c r="O13" s="68" t="n"/>
      <c r="P13" s="48" t="n"/>
      <c r="Q13" s="70">
        <f>J13-C13</f>
        <v/>
      </c>
      <c r="R13" s="70">
        <f>K13-D13</f>
        <v/>
      </c>
      <c r="S13" s="70">
        <f>L13-E13</f>
        <v/>
      </c>
      <c r="T13" s="70">
        <f>M13-F13</f>
        <v/>
      </c>
      <c r="U13" s="70">
        <f>N13-G13</f>
        <v/>
      </c>
      <c r="V13" s="70">
        <f>O13-H13</f>
        <v/>
      </c>
      <c r="W13" s="48" t="n"/>
      <c r="X13" s="42">
        <f>IFERROR(J13/C13,0)</f>
        <v/>
      </c>
      <c r="Y13" s="42">
        <f>IFERROR(K13/D13,0)</f>
        <v/>
      </c>
      <c r="Z13" s="42">
        <f>IFERROR(L13/E13,0)</f>
        <v/>
      </c>
      <c r="AA13" s="42">
        <f>IFERROR(M13/F13,0)</f>
        <v/>
      </c>
      <c r="AB13" s="42">
        <f>IFERROR(N13/G13,0)</f>
        <v/>
      </c>
      <c r="AC13" s="42">
        <f>IFERROR(O13/H13,0)</f>
        <v/>
      </c>
    </row>
    <row r="14" ht="14.9" customHeight="1" s="39">
      <c r="B14" s="40" t="inlineStr">
        <is>
          <t>Nov</t>
        </is>
      </c>
      <c r="C14" s="68" t="n">
        <v>14373.9</v>
      </c>
      <c r="D14" s="41" t="n">
        <v>40539.4555</v>
      </c>
      <c r="E14" s="41" t="n">
        <v>26996.2061</v>
      </c>
      <c r="F14" s="41" t="n">
        <v>252.6097</v>
      </c>
      <c r="G14" s="41" t="n">
        <v>30374.3993</v>
      </c>
      <c r="H14" s="68" t="n">
        <v>40152153.0876356</v>
      </c>
      <c r="I14" s="48" t="n"/>
      <c r="J14" s="68" t="n"/>
      <c r="K14" s="41" t="n"/>
      <c r="L14" s="41" t="n"/>
      <c r="M14" s="41" t="n"/>
      <c r="N14" s="41" t="n"/>
      <c r="O14" s="68" t="n"/>
      <c r="P14" s="48" t="n"/>
      <c r="Q14" s="70">
        <f>J14-C14</f>
        <v/>
      </c>
      <c r="R14" s="70">
        <f>K14-D14</f>
        <v/>
      </c>
      <c r="S14" s="70">
        <f>L14-E14</f>
        <v/>
      </c>
      <c r="T14" s="70">
        <f>M14-F14</f>
        <v/>
      </c>
      <c r="U14" s="70">
        <f>N14-G14</f>
        <v/>
      </c>
      <c r="V14" s="70">
        <f>O14-H14</f>
        <v/>
      </c>
      <c r="W14" s="48" t="n"/>
      <c r="X14" s="42">
        <f>IFERROR(J14/C14,0)</f>
        <v/>
      </c>
      <c r="Y14" s="42">
        <f>IFERROR(K14/D14,0)</f>
        <v/>
      </c>
      <c r="Z14" s="42">
        <f>IFERROR(L14/E14,0)</f>
        <v/>
      </c>
      <c r="AA14" s="42">
        <f>IFERROR(M14/F14,0)</f>
        <v/>
      </c>
      <c r="AB14" s="42">
        <f>IFERROR(N14/G14,0)</f>
        <v/>
      </c>
      <c r="AC14" s="42">
        <f>IFERROR(O14/H14,0)</f>
        <v/>
      </c>
    </row>
    <row r="15" ht="14.9" customHeight="1" s="39">
      <c r="B15" s="40" t="inlineStr">
        <is>
          <t>Dec</t>
        </is>
      </c>
      <c r="C15" s="68" t="n">
        <v>5111.9</v>
      </c>
      <c r="D15" s="41" t="n">
        <v>27180.8532</v>
      </c>
      <c r="E15" s="41" t="n">
        <v>19585.742</v>
      </c>
      <c r="F15" s="41" t="n">
        <v>209.784</v>
      </c>
      <c r="G15" s="41" t="n">
        <v>36278.5857</v>
      </c>
      <c r="H15" s="68" t="n">
        <v>33475217.8821384</v>
      </c>
      <c r="I15" s="48" t="n"/>
      <c r="J15" s="68" t="n"/>
      <c r="K15" s="41" t="n"/>
      <c r="L15" s="41" t="n"/>
      <c r="M15" s="41" t="n"/>
      <c r="N15" s="41" t="n"/>
      <c r="O15" s="68" t="n"/>
      <c r="P15" s="48" t="n"/>
      <c r="Q15" s="70">
        <f>J15-C15</f>
        <v/>
      </c>
      <c r="R15" s="70">
        <f>K15-D15</f>
        <v/>
      </c>
      <c r="S15" s="70">
        <f>L15-E15</f>
        <v/>
      </c>
      <c r="T15" s="70">
        <f>M15-F15</f>
        <v/>
      </c>
      <c r="U15" s="70">
        <f>N15-G15</f>
        <v/>
      </c>
      <c r="V15" s="70">
        <f>O15-H15</f>
        <v/>
      </c>
      <c r="W15" s="48" t="n"/>
      <c r="X15" s="42">
        <f>IFERROR(J15/C15,0)</f>
        <v/>
      </c>
      <c r="Y15" s="42">
        <f>IFERROR(K15/D15,0)</f>
        <v/>
      </c>
      <c r="Z15" s="42">
        <f>IFERROR(L15/E15,0)</f>
        <v/>
      </c>
      <c r="AA15" s="42">
        <f>IFERROR(M15/F15,0)</f>
        <v/>
      </c>
      <c r="AB15" s="42">
        <f>IFERROR(N15/G15,0)</f>
        <v/>
      </c>
      <c r="AC15" s="42">
        <f>IFERROR(O15/H15,0)</f>
        <v/>
      </c>
    </row>
    <row r="16" ht="13.8" customHeight="1" s="39">
      <c r="B16" s="59" t="inlineStr">
        <is>
          <t>Grand Total</t>
        </is>
      </c>
      <c r="C16" s="71">
        <f>SUM(C4:C15)</f>
        <v/>
      </c>
      <c r="D16" s="71">
        <f>SUM(D4:D15)</f>
        <v/>
      </c>
      <c r="E16" s="71">
        <f>SUM(E4:E15)</f>
        <v/>
      </c>
      <c r="F16" s="71">
        <f>SUM(F4:F15)</f>
        <v/>
      </c>
      <c r="G16" s="71">
        <f>SUM(G4:G15)</f>
        <v/>
      </c>
      <c r="H16" s="71">
        <f>SUM(H4:H15)</f>
        <v/>
      </c>
      <c r="I16" s="48" t="n"/>
      <c r="J16" s="71">
        <f>SUM(J4:J15)</f>
        <v/>
      </c>
      <c r="K16" s="71">
        <f>SUM(K4:K15)</f>
        <v/>
      </c>
      <c r="L16" s="71">
        <f>SUM(L4:L15)</f>
        <v/>
      </c>
      <c r="M16" s="71">
        <f>SUM(M4:M15)</f>
        <v/>
      </c>
      <c r="N16" s="71">
        <f>SUM(N4:N15)</f>
        <v/>
      </c>
      <c r="O16" s="71">
        <f>SUM(O4:O15)</f>
        <v/>
      </c>
      <c r="P16" s="48" t="n"/>
      <c r="Q16" s="71">
        <f>SUM(Q4:Q15)</f>
        <v/>
      </c>
      <c r="R16" s="71">
        <f>SUM(R4:R15)</f>
        <v/>
      </c>
      <c r="S16" s="71">
        <f>SUM(S4:S15)</f>
        <v/>
      </c>
      <c r="T16" s="71">
        <f>SUM(T4:T15)</f>
        <v/>
      </c>
      <c r="U16" s="71">
        <f>SUM(U4:U15)</f>
        <v/>
      </c>
      <c r="V16" s="71">
        <f>SUM(V4:V15)</f>
        <v/>
      </c>
      <c r="W16" s="48" t="n"/>
      <c r="X16" s="61">
        <f>IFERROR(J16/C16,0)</f>
        <v/>
      </c>
      <c r="Y16" s="61">
        <f>IFERROR(K16/D16,0)</f>
        <v/>
      </c>
      <c r="Z16" s="61">
        <f>IFERROR(L16/E16,0)</f>
        <v/>
      </c>
      <c r="AA16" s="61">
        <f>IFERROR(M16/F16,0)</f>
        <v/>
      </c>
      <c r="AB16" s="61">
        <f>IFERROR(N16/G16,0)</f>
        <v/>
      </c>
      <c r="AC16" s="61">
        <f>IFERROR(O16/H16,0)</f>
        <v/>
      </c>
    </row>
  </sheetData>
  <mergeCells count="4">
    <mergeCell ref="J2:O2"/>
    <mergeCell ref="Q2:V2"/>
    <mergeCell ref="C2:H2"/>
    <mergeCell ref="X2:AC2"/>
  </mergeCells>
  <conditionalFormatting sqref="Q4:V15">
    <cfRule type="cellIs" rank="0" priority="2" equalAverage="0" operator="lessThan" aboveAverage="0" dxfId="4" text="" percent="0" bottom="0">
      <formula>0</formula>
    </cfRule>
    <cfRule type="cellIs" rank="0" priority="3" equalAverage="0" operator="greaterThan" aboveAverage="0" dxfId="5" text="" percent="0" bottom="0">
      <formula>0</formula>
    </cfRule>
  </conditionalFormatting>
  <printOptions horizontalCentered="0" verticalCentered="0" headings="0" gridLines="0" gridLinesSet="1"/>
  <pageMargins left="0.7" right="0.7" top="0.3" bottom="0.3" header="0.3" footer="0.3"/>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2:AC65"/>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65234375" defaultRowHeight="15" zeroHeight="0" outlineLevelRow="2"/>
  <cols>
    <col width="8.65" customWidth="1" style="72" min="1" max="7"/>
    <col hidden="1" width="9.460000000000001" customWidth="1" style="72" min="8" max="8"/>
    <col width="1.08" customWidth="1" style="72" min="9" max="9"/>
    <col width="8.65" customWidth="1" style="72" min="10" max="14"/>
    <col hidden="1" width="11.53" customWidth="1" style="72" min="15" max="15"/>
    <col width="1.08" customWidth="1" style="72" min="16" max="16"/>
    <col width="8.65" customWidth="1" style="72" min="17" max="21"/>
    <col hidden="1" width="10.13" customWidth="1" style="72" min="22" max="22"/>
    <col width="0.9399999999999999" customWidth="1" style="72" min="23" max="23"/>
    <col width="8.65" customWidth="1" style="72" min="24" max="28"/>
    <col hidden="1" width="11.53" customWidth="1" style="72" min="29" max="29"/>
    <col width="8.65" customWidth="1" style="72" min="30" max="16384"/>
  </cols>
  <sheetData>
    <row r="1" ht="13.8" customHeight="1" s="39"/>
    <row r="2" outlineLevel="1" ht="13.8" customHeight="1" s="39">
      <c r="A2" s="73" t="inlineStr">
        <is>
          <t>Total</t>
        </is>
      </c>
      <c r="B2" s="59" t="inlineStr">
        <is>
          <t>IN Lacs.</t>
        </is>
      </c>
      <c r="C2" s="67" t="inlineStr">
        <is>
          <t>Budgeted</t>
        </is>
      </c>
      <c r="D2" s="46" t="n"/>
      <c r="E2" s="46" t="n"/>
      <c r="F2" s="46" t="n"/>
      <c r="G2" s="46" t="n"/>
      <c r="H2" s="47" t="n"/>
      <c r="I2" s="48" t="n"/>
      <c r="J2" s="67" t="inlineStr">
        <is>
          <t>Actual</t>
        </is>
      </c>
      <c r="K2" s="46" t="n"/>
      <c r="L2" s="46" t="n"/>
      <c r="M2" s="46" t="n"/>
      <c r="N2" s="46" t="n"/>
      <c r="O2" s="47" t="n"/>
      <c r="P2" s="48" t="n"/>
      <c r="Q2" s="67" t="inlineStr">
        <is>
          <t>Variance</t>
        </is>
      </c>
      <c r="R2" s="46" t="n"/>
      <c r="S2" s="46" t="n"/>
      <c r="T2" s="46" t="n"/>
      <c r="U2" s="46" t="n"/>
      <c r="V2" s="47" t="n"/>
      <c r="W2" s="48" t="n"/>
      <c r="X2" s="67" t="inlineStr">
        <is>
          <t>Achivement %</t>
        </is>
      </c>
      <c r="Y2" s="46" t="n"/>
      <c r="Z2" s="46" t="n"/>
      <c r="AA2" s="46" t="n"/>
      <c r="AB2" s="46" t="n"/>
      <c r="AC2" s="47" t="n"/>
    </row>
    <row r="3" outlineLevel="1" ht="13.8" customHeight="1" s="39">
      <c r="A3" s="74" t="n"/>
      <c r="B3" s="59" t="inlineStr">
        <is>
          <t>Row Labels</t>
        </is>
      </c>
      <c r="C3" s="59" t="inlineStr">
        <is>
          <t>Qty</t>
        </is>
      </c>
      <c r="D3" s="59" t="inlineStr">
        <is>
          <t xml:space="preserve"> Gross Wt.</t>
        </is>
      </c>
      <c r="E3" s="59" t="inlineStr">
        <is>
          <t>Net Wt.</t>
        </is>
      </c>
      <c r="F3" s="59" t="inlineStr">
        <is>
          <t xml:space="preserve"> Dia Wt.</t>
        </is>
      </c>
      <c r="G3" s="59" t="inlineStr">
        <is>
          <t xml:space="preserve"> CLS Wt.</t>
        </is>
      </c>
      <c r="H3" s="59" t="inlineStr">
        <is>
          <t xml:space="preserve"> Value</t>
        </is>
      </c>
      <c r="I3" s="48" t="n"/>
      <c r="J3" s="59" t="inlineStr">
        <is>
          <t>Qty</t>
        </is>
      </c>
      <c r="K3" s="59" t="inlineStr">
        <is>
          <t xml:space="preserve"> Gross Wt.</t>
        </is>
      </c>
      <c r="L3" s="59" t="inlineStr">
        <is>
          <t>Net Wt.</t>
        </is>
      </c>
      <c r="M3" s="59" t="inlineStr">
        <is>
          <t xml:space="preserve"> Dia Wt.</t>
        </is>
      </c>
      <c r="N3" s="59" t="inlineStr">
        <is>
          <t xml:space="preserve"> CLS Wt.</t>
        </is>
      </c>
      <c r="O3" s="59" t="inlineStr">
        <is>
          <t xml:space="preserve"> Value</t>
        </is>
      </c>
      <c r="P3" s="48" t="n"/>
      <c r="Q3" s="59" t="inlineStr">
        <is>
          <t>Qty</t>
        </is>
      </c>
      <c r="R3" s="59" t="inlineStr">
        <is>
          <t xml:space="preserve"> Gross Wt.</t>
        </is>
      </c>
      <c r="S3" s="59" t="inlineStr">
        <is>
          <t>Net Wt.</t>
        </is>
      </c>
      <c r="T3" s="59" t="inlineStr">
        <is>
          <t xml:space="preserve"> Dia Wt.</t>
        </is>
      </c>
      <c r="U3" s="59" t="inlineStr">
        <is>
          <t xml:space="preserve"> CLS Wt.</t>
        </is>
      </c>
      <c r="V3" s="59" t="inlineStr">
        <is>
          <t xml:space="preserve"> Value</t>
        </is>
      </c>
      <c r="W3" s="48" t="n"/>
      <c r="X3" s="59" t="inlineStr">
        <is>
          <t>Qty</t>
        </is>
      </c>
      <c r="Y3" s="59" t="inlineStr">
        <is>
          <t xml:space="preserve"> Gross Wt.</t>
        </is>
      </c>
      <c r="Z3" s="59" t="inlineStr">
        <is>
          <t>Net Wt.</t>
        </is>
      </c>
      <c r="AA3" s="59" t="inlineStr">
        <is>
          <t xml:space="preserve"> Dia Wt.</t>
        </is>
      </c>
      <c r="AB3" s="59" t="inlineStr">
        <is>
          <t xml:space="preserve"> CLS Wt.</t>
        </is>
      </c>
      <c r="AC3" s="59" t="inlineStr">
        <is>
          <t xml:space="preserve"> Value</t>
        </is>
      </c>
    </row>
    <row r="4" outlineLevel="1" ht="14.9" customHeight="1" s="39">
      <c r="A4" s="74" t="n"/>
      <c r="B4" s="40" t="inlineStr">
        <is>
          <t>Jan</t>
        </is>
      </c>
      <c r="C4" s="68">
        <f>C20+C36+C52</f>
        <v/>
      </c>
      <c r="D4" s="68">
        <f>D20+D36+D52</f>
        <v/>
      </c>
      <c r="E4" s="68">
        <f>E20+E36+E52</f>
        <v/>
      </c>
      <c r="F4" s="68">
        <f>F20+F36+F52</f>
        <v/>
      </c>
      <c r="G4" s="68">
        <f>G20+G36+G52</f>
        <v/>
      </c>
      <c r="H4" s="68" t="n">
        <v>35656714.7714286</v>
      </c>
      <c r="I4" s="48" t="n"/>
      <c r="J4" s="69">
        <f>J20+J36+J52</f>
        <v/>
      </c>
      <c r="K4" s="69">
        <f>K20+K36+K52</f>
        <v/>
      </c>
      <c r="L4" s="69">
        <f>L20+L36+L52</f>
        <v/>
      </c>
      <c r="M4" s="69">
        <f>M20+M36+M52</f>
        <v/>
      </c>
      <c r="N4" s="69">
        <f>N20+N36+N52</f>
        <v/>
      </c>
      <c r="O4" s="69" t="n">
        <v>13445582.765</v>
      </c>
      <c r="P4" s="48" t="n"/>
      <c r="Q4" s="70">
        <f>J4-C4</f>
        <v/>
      </c>
      <c r="R4" s="70">
        <f>K4-D4</f>
        <v/>
      </c>
      <c r="S4" s="70">
        <f>L4-E4</f>
        <v/>
      </c>
      <c r="T4" s="70">
        <f>M4-F4</f>
        <v/>
      </c>
      <c r="U4" s="70">
        <f>N4-G4</f>
        <v/>
      </c>
      <c r="V4" s="70">
        <f>O4-H4</f>
        <v/>
      </c>
      <c r="W4" s="48" t="n"/>
      <c r="X4" s="42">
        <f>IFERROR(J4/C4,0)</f>
        <v/>
      </c>
      <c r="Y4" s="42">
        <f>IFERROR(K4/D4,0)</f>
        <v/>
      </c>
      <c r="Z4" s="42">
        <f>IFERROR(L4/E4,0)</f>
        <v/>
      </c>
      <c r="AA4" s="42">
        <f>IFERROR(M4/F4,0)</f>
        <v/>
      </c>
      <c r="AB4" s="42">
        <f>IFERROR(N4/G4,0)</f>
        <v/>
      </c>
      <c r="AC4" s="42">
        <f>IFERROR(O4/H4,0)</f>
        <v/>
      </c>
    </row>
    <row r="5" outlineLevel="1" ht="14.9" customHeight="1" s="39">
      <c r="A5" s="74" t="n"/>
      <c r="B5" s="40" t="inlineStr">
        <is>
          <t>Feb</t>
        </is>
      </c>
      <c r="C5" s="68">
        <f>C21+C37+C53</f>
        <v/>
      </c>
      <c r="D5" s="68">
        <f>D21+D37+D53</f>
        <v/>
      </c>
      <c r="E5" s="68">
        <f>E21+E37+E53</f>
        <v/>
      </c>
      <c r="F5" s="68">
        <f>F21+F37+F53</f>
        <v/>
      </c>
      <c r="G5" s="68">
        <f>G21+G37+G53</f>
        <v/>
      </c>
      <c r="H5" s="68" t="n">
        <v>16100696.1168831</v>
      </c>
      <c r="I5" s="48" t="n"/>
      <c r="J5" s="69">
        <f>J21+J37+J53</f>
        <v/>
      </c>
      <c r="K5" s="69">
        <f>K21+K37+K53</f>
        <v/>
      </c>
      <c r="L5" s="69">
        <f>L21+L37+L53</f>
        <v/>
      </c>
      <c r="M5" s="69">
        <f>M21+M37+M53</f>
        <v/>
      </c>
      <c r="N5" s="69">
        <f>N21+N37+N53</f>
        <v/>
      </c>
      <c r="O5" s="69" t="n">
        <v>4537902.7485</v>
      </c>
      <c r="P5" s="48" t="n"/>
      <c r="Q5" s="70">
        <f>J5-C5</f>
        <v/>
      </c>
      <c r="R5" s="70">
        <f>K5-D5</f>
        <v/>
      </c>
      <c r="S5" s="70">
        <f>L5-E5</f>
        <v/>
      </c>
      <c r="T5" s="70">
        <f>M5-F5</f>
        <v/>
      </c>
      <c r="U5" s="70">
        <f>N5-G5</f>
        <v/>
      </c>
      <c r="V5" s="70">
        <f>O5-H5</f>
        <v/>
      </c>
      <c r="W5" s="48" t="n"/>
      <c r="X5" s="42">
        <f>IFERROR(J5/C5,0)</f>
        <v/>
      </c>
      <c r="Y5" s="42">
        <f>IFERROR(K5/D5,0)</f>
        <v/>
      </c>
      <c r="Z5" s="42">
        <f>IFERROR(L5/E5,0)</f>
        <v/>
      </c>
      <c r="AA5" s="42">
        <f>IFERROR(M5/F5,0)</f>
        <v/>
      </c>
      <c r="AB5" s="42">
        <f>IFERROR(N5/G5,0)</f>
        <v/>
      </c>
      <c r="AC5" s="42">
        <f>IFERROR(O5/H5,0)</f>
        <v/>
      </c>
    </row>
    <row r="6" outlineLevel="1" ht="14.9" customHeight="1" s="39">
      <c r="A6" s="74" t="n"/>
      <c r="B6" s="40" t="inlineStr">
        <is>
          <t>Mar</t>
        </is>
      </c>
      <c r="C6" s="68">
        <f>C22+C38+C54</f>
        <v/>
      </c>
      <c r="D6" s="68">
        <f>D22+D38+D54</f>
        <v/>
      </c>
      <c r="E6" s="68">
        <f>E22+E38+E54</f>
        <v/>
      </c>
      <c r="F6" s="68">
        <f>F22+F38+F54</f>
        <v/>
      </c>
      <c r="G6" s="68">
        <f>G22+G38+G54</f>
        <v/>
      </c>
      <c r="H6" s="68" t="n">
        <v>20698983.7792208</v>
      </c>
      <c r="I6" s="48" t="n"/>
      <c r="J6" s="69">
        <f>J22+J38+J54</f>
        <v/>
      </c>
      <c r="K6" s="69">
        <f>K22+K38+K54</f>
        <v/>
      </c>
      <c r="L6" s="69">
        <f>L22+L38+L54</f>
        <v/>
      </c>
      <c r="M6" s="69">
        <f>M22+M38+M54</f>
        <v/>
      </c>
      <c r="N6" s="69">
        <f>N22+N38+N54</f>
        <v/>
      </c>
      <c r="O6" s="68" t="n"/>
      <c r="P6" s="48" t="n"/>
      <c r="Q6" s="70">
        <f>J6-C6</f>
        <v/>
      </c>
      <c r="R6" s="70">
        <f>K6-D6</f>
        <v/>
      </c>
      <c r="S6" s="70">
        <f>L6-E6</f>
        <v/>
      </c>
      <c r="T6" s="70">
        <f>M6-F6</f>
        <v/>
      </c>
      <c r="U6" s="70">
        <f>N6-G6</f>
        <v/>
      </c>
      <c r="V6" s="70">
        <f>O6-H6</f>
        <v/>
      </c>
      <c r="W6" s="48" t="n"/>
      <c r="X6" s="42">
        <f>IFERROR(J6/C6,0)</f>
        <v/>
      </c>
      <c r="Y6" s="42">
        <f>IFERROR(K6/D6,0)</f>
        <v/>
      </c>
      <c r="Z6" s="42">
        <f>IFERROR(L6/E6,0)</f>
        <v/>
      </c>
      <c r="AA6" s="42">
        <f>IFERROR(M6/F6,0)</f>
        <v/>
      </c>
      <c r="AB6" s="42">
        <f>IFERROR(N6/G6,0)</f>
        <v/>
      </c>
      <c r="AC6" s="42">
        <f>IFERROR(O6/H6,0)</f>
        <v/>
      </c>
    </row>
    <row r="7" outlineLevel="1" ht="14.9" customHeight="1" s="39">
      <c r="A7" s="74" t="n"/>
      <c r="B7" s="40" t="inlineStr">
        <is>
          <t>Apr</t>
        </is>
      </c>
      <c r="C7" s="68">
        <f>C23+C39+C55</f>
        <v/>
      </c>
      <c r="D7" s="68">
        <f>D23+D39+D55</f>
        <v/>
      </c>
      <c r="E7" s="68">
        <f>E23+E39+E55</f>
        <v/>
      </c>
      <c r="F7" s="68">
        <f>F23+F39+F55</f>
        <v/>
      </c>
      <c r="G7" s="68">
        <f>G23+G39+G55</f>
        <v/>
      </c>
      <c r="H7" s="68" t="n">
        <v>17339150.8987013</v>
      </c>
      <c r="I7" s="48" t="n"/>
      <c r="J7" s="69">
        <f>J23+J39+J55</f>
        <v/>
      </c>
      <c r="K7" s="69">
        <f>K23+K39+K55</f>
        <v/>
      </c>
      <c r="L7" s="69">
        <f>L23+L39+L55</f>
        <v/>
      </c>
      <c r="M7" s="69">
        <f>M23+M39+M55</f>
        <v/>
      </c>
      <c r="N7" s="69">
        <f>N23+N39+N55</f>
        <v/>
      </c>
      <c r="O7" s="68" t="n"/>
      <c r="P7" s="48" t="n"/>
      <c r="Q7" s="70">
        <f>J7-C7</f>
        <v/>
      </c>
      <c r="R7" s="70">
        <f>K7-D7</f>
        <v/>
      </c>
      <c r="S7" s="70">
        <f>L7-E7</f>
        <v/>
      </c>
      <c r="T7" s="70">
        <f>M7-F7</f>
        <v/>
      </c>
      <c r="U7" s="70">
        <f>N7-G7</f>
        <v/>
      </c>
      <c r="V7" s="70">
        <f>O7-H7</f>
        <v/>
      </c>
      <c r="W7" s="48" t="n"/>
      <c r="X7" s="42">
        <f>IFERROR(J7/C7,0)</f>
        <v/>
      </c>
      <c r="Y7" s="42">
        <f>IFERROR(K7/D7,0)</f>
        <v/>
      </c>
      <c r="Z7" s="42">
        <f>IFERROR(L7/E7,0)</f>
        <v/>
      </c>
      <c r="AA7" s="42">
        <f>IFERROR(M7/F7,0)</f>
        <v/>
      </c>
      <c r="AB7" s="42">
        <f>IFERROR(N7/G7,0)</f>
        <v/>
      </c>
      <c r="AC7" s="42">
        <f>IFERROR(O7/H7,0)</f>
        <v/>
      </c>
    </row>
    <row r="8" outlineLevel="1" ht="14.9" customHeight="1" s="39">
      <c r="A8" s="74" t="n"/>
      <c r="B8" s="40" t="inlineStr">
        <is>
          <t>May</t>
        </is>
      </c>
      <c r="C8" s="68">
        <f>C24+C40+C56</f>
        <v/>
      </c>
      <c r="D8" s="68">
        <f>D24+D40+D56</f>
        <v/>
      </c>
      <c r="E8" s="68">
        <f>E24+E40+E56</f>
        <v/>
      </c>
      <c r="F8" s="68">
        <f>F24+F40+F56</f>
        <v/>
      </c>
      <c r="G8" s="68">
        <f>G24+G40+G56</f>
        <v/>
      </c>
      <c r="H8" s="68" t="n">
        <v>12939052.2415584</v>
      </c>
      <c r="I8" s="48" t="n"/>
      <c r="J8" s="69">
        <f>J24+J40+J56</f>
        <v/>
      </c>
      <c r="K8" s="69">
        <f>K24+K40+K56</f>
        <v/>
      </c>
      <c r="L8" s="69">
        <f>L24+L40+L56</f>
        <v/>
      </c>
      <c r="M8" s="69">
        <f>M24+M40+M56</f>
        <v/>
      </c>
      <c r="N8" s="69">
        <f>N24+N40+N56</f>
        <v/>
      </c>
      <c r="O8" s="68" t="n"/>
      <c r="P8" s="48" t="n"/>
      <c r="Q8" s="70">
        <f>J8-C8</f>
        <v/>
      </c>
      <c r="R8" s="70">
        <f>K8-D8</f>
        <v/>
      </c>
      <c r="S8" s="70">
        <f>L8-E8</f>
        <v/>
      </c>
      <c r="T8" s="70">
        <f>M8-F8</f>
        <v/>
      </c>
      <c r="U8" s="70">
        <f>N8-G8</f>
        <v/>
      </c>
      <c r="V8" s="70">
        <f>O8-H8</f>
        <v/>
      </c>
      <c r="W8" s="48" t="n"/>
      <c r="X8" s="42">
        <f>IFERROR(J8/C8,0)</f>
        <v/>
      </c>
      <c r="Y8" s="42">
        <f>IFERROR(K8/D8,0)</f>
        <v/>
      </c>
      <c r="Z8" s="42">
        <f>IFERROR(L8/E8,0)</f>
        <v/>
      </c>
      <c r="AA8" s="42">
        <f>IFERROR(M8/F8,0)</f>
        <v/>
      </c>
      <c r="AB8" s="42">
        <f>IFERROR(N8/G8,0)</f>
        <v/>
      </c>
      <c r="AC8" s="42">
        <f>IFERROR(O8/H8,0)</f>
        <v/>
      </c>
    </row>
    <row r="9" outlineLevel="1" ht="14.9" customHeight="1" s="39">
      <c r="A9" s="74" t="n"/>
      <c r="B9" s="40" t="inlineStr">
        <is>
          <t>Jun</t>
        </is>
      </c>
      <c r="C9" s="68">
        <f>C25+C41+C57</f>
        <v/>
      </c>
      <c r="D9" s="68">
        <f>D25+D41+D57</f>
        <v/>
      </c>
      <c r="E9" s="68">
        <f>E25+E41+E57</f>
        <v/>
      </c>
      <c r="F9" s="68">
        <f>F25+F41+F57</f>
        <v/>
      </c>
      <c r="G9" s="68">
        <f>G25+G41+G57</f>
        <v/>
      </c>
      <c r="H9" s="68" t="n">
        <v>10535994.4441558</v>
      </c>
      <c r="I9" s="48" t="n"/>
      <c r="J9" s="69">
        <f>J25+J41+J57</f>
        <v/>
      </c>
      <c r="K9" s="69">
        <f>K25+K41+K57</f>
        <v/>
      </c>
      <c r="L9" s="69">
        <f>L25+L41+L57</f>
        <v/>
      </c>
      <c r="M9" s="69">
        <f>M25+M41+M57</f>
        <v/>
      </c>
      <c r="N9" s="69">
        <f>N25+N41+N57</f>
        <v/>
      </c>
      <c r="O9" s="68" t="n"/>
      <c r="P9" s="48" t="n"/>
      <c r="Q9" s="70">
        <f>J9-C9</f>
        <v/>
      </c>
      <c r="R9" s="70">
        <f>K9-D9</f>
        <v/>
      </c>
      <c r="S9" s="70">
        <f>L9-E9</f>
        <v/>
      </c>
      <c r="T9" s="70">
        <f>M9-F9</f>
        <v/>
      </c>
      <c r="U9" s="70">
        <f>N9-G9</f>
        <v/>
      </c>
      <c r="V9" s="70">
        <f>O9-H9</f>
        <v/>
      </c>
      <c r="W9" s="48" t="n"/>
      <c r="X9" s="42">
        <f>IFERROR(J9/C9,0)</f>
        <v/>
      </c>
      <c r="Y9" s="42">
        <f>IFERROR(K9/D9,0)</f>
        <v/>
      </c>
      <c r="Z9" s="42">
        <f>IFERROR(L9/E9,0)</f>
        <v/>
      </c>
      <c r="AA9" s="42">
        <f>IFERROR(M9/F9,0)</f>
        <v/>
      </c>
      <c r="AB9" s="42">
        <f>IFERROR(N9/G9,0)</f>
        <v/>
      </c>
      <c r="AC9" s="42">
        <f>IFERROR(O9/H9,0)</f>
        <v/>
      </c>
    </row>
    <row r="10" outlineLevel="1" ht="14.9" customHeight="1" s="39">
      <c r="A10" s="74" t="n"/>
      <c r="B10" s="40" t="inlineStr">
        <is>
          <t>Jul</t>
        </is>
      </c>
      <c r="C10" s="68">
        <f>C26+C42+C58</f>
        <v/>
      </c>
      <c r="D10" s="68">
        <f>D26+D42+D58</f>
        <v/>
      </c>
      <c r="E10" s="68">
        <f>E26+E42+E58</f>
        <v/>
      </c>
      <c r="F10" s="68">
        <f>F26+F42+F58</f>
        <v/>
      </c>
      <c r="G10" s="68">
        <f>G26+G42+G58</f>
        <v/>
      </c>
      <c r="H10" s="68" t="n">
        <v>22343511.7714286</v>
      </c>
      <c r="I10" s="48" t="n"/>
      <c r="J10" s="69">
        <f>J26+J42+J58</f>
        <v/>
      </c>
      <c r="K10" s="69">
        <f>K26+K42+K58</f>
        <v/>
      </c>
      <c r="L10" s="69">
        <f>L26+L42+L58</f>
        <v/>
      </c>
      <c r="M10" s="69">
        <f>M26+M42+M58</f>
        <v/>
      </c>
      <c r="N10" s="69">
        <f>N26+N42+N58</f>
        <v/>
      </c>
      <c r="O10" s="68" t="n"/>
      <c r="P10" s="48" t="n"/>
      <c r="Q10" s="70">
        <f>J10-C10</f>
        <v/>
      </c>
      <c r="R10" s="70">
        <f>K10-D10</f>
        <v/>
      </c>
      <c r="S10" s="70">
        <f>L10-E10</f>
        <v/>
      </c>
      <c r="T10" s="70">
        <f>M10-F10</f>
        <v/>
      </c>
      <c r="U10" s="70">
        <f>N10-G10</f>
        <v/>
      </c>
      <c r="V10" s="70">
        <f>O10-H10</f>
        <v/>
      </c>
      <c r="W10" s="48" t="n"/>
      <c r="X10" s="42">
        <f>IFERROR(J10/C10,0)</f>
        <v/>
      </c>
      <c r="Y10" s="42">
        <f>IFERROR(K10/D10,0)</f>
        <v/>
      </c>
      <c r="Z10" s="42">
        <f>IFERROR(L10/E10,0)</f>
        <v/>
      </c>
      <c r="AA10" s="42">
        <f>IFERROR(M10/F10,0)</f>
        <v/>
      </c>
      <c r="AB10" s="42">
        <f>IFERROR(N10/G10,0)</f>
        <v/>
      </c>
      <c r="AC10" s="42">
        <f>IFERROR(O10/H10,0)</f>
        <v/>
      </c>
    </row>
    <row r="11" outlineLevel="1" ht="14.9" customHeight="1" s="39">
      <c r="A11" s="74" t="n"/>
      <c r="B11" s="40" t="inlineStr">
        <is>
          <t>Aug</t>
        </is>
      </c>
      <c r="C11" s="68">
        <f>C27+C43+C59</f>
        <v/>
      </c>
      <c r="D11" s="68">
        <f>D27+D43+D59</f>
        <v/>
      </c>
      <c r="E11" s="68">
        <f>E27+E43+E59</f>
        <v/>
      </c>
      <c r="F11" s="68">
        <f>F27+F43+F59</f>
        <v/>
      </c>
      <c r="G11" s="68">
        <f>G27+G43+G59</f>
        <v/>
      </c>
      <c r="H11" s="68" t="n">
        <v>22367887.5272727</v>
      </c>
      <c r="I11" s="48" t="n"/>
      <c r="J11" s="69">
        <f>J27+J43+J59</f>
        <v/>
      </c>
      <c r="K11" s="69">
        <f>K27+K43+K59</f>
        <v/>
      </c>
      <c r="L11" s="69">
        <f>L27+L43+L59</f>
        <v/>
      </c>
      <c r="M11" s="69">
        <f>M27+M43+M59</f>
        <v/>
      </c>
      <c r="N11" s="69">
        <f>N27+N43+N59</f>
        <v/>
      </c>
      <c r="O11" s="68" t="n"/>
      <c r="P11" s="48" t="n"/>
      <c r="Q11" s="70">
        <f>J11-C11</f>
        <v/>
      </c>
      <c r="R11" s="70">
        <f>K11-D11</f>
        <v/>
      </c>
      <c r="S11" s="70">
        <f>L11-E11</f>
        <v/>
      </c>
      <c r="T11" s="70">
        <f>M11-F11</f>
        <v/>
      </c>
      <c r="U11" s="70">
        <f>N11-G11</f>
        <v/>
      </c>
      <c r="V11" s="70">
        <f>O11-H11</f>
        <v/>
      </c>
      <c r="W11" s="48" t="n"/>
      <c r="X11" s="42">
        <f>IFERROR(J11/C11,0)</f>
        <v/>
      </c>
      <c r="Y11" s="42">
        <f>IFERROR(K11/D11,0)</f>
        <v/>
      </c>
      <c r="Z11" s="42">
        <f>IFERROR(L11/E11,0)</f>
        <v/>
      </c>
      <c r="AA11" s="42">
        <f>IFERROR(M11/F11,0)</f>
        <v/>
      </c>
      <c r="AB11" s="42">
        <f>IFERROR(N11/G11,0)</f>
        <v/>
      </c>
      <c r="AC11" s="42">
        <f>IFERROR(O11/H11,0)</f>
        <v/>
      </c>
    </row>
    <row r="12" outlineLevel="1" ht="14.9" customHeight="1" s="39">
      <c r="A12" s="74" t="n"/>
      <c r="B12" s="40" t="inlineStr">
        <is>
          <t>Sep</t>
        </is>
      </c>
      <c r="C12" s="68">
        <f>C28+C44+C60</f>
        <v/>
      </c>
      <c r="D12" s="68">
        <f>D28+D44+D60</f>
        <v/>
      </c>
      <c r="E12" s="68">
        <f>E28+E44+E60</f>
        <v/>
      </c>
      <c r="F12" s="68">
        <f>F28+F44+F60</f>
        <v/>
      </c>
      <c r="G12" s="68">
        <f>G28+G44+G60</f>
        <v/>
      </c>
      <c r="H12" s="68" t="n">
        <v>28711121.8103896</v>
      </c>
      <c r="I12" s="48" t="n"/>
      <c r="J12" s="69">
        <f>J28+J44+J60</f>
        <v/>
      </c>
      <c r="K12" s="69">
        <f>K28+K44+K60</f>
        <v/>
      </c>
      <c r="L12" s="69">
        <f>L28+L44+L60</f>
        <v/>
      </c>
      <c r="M12" s="69">
        <f>M28+M44+M60</f>
        <v/>
      </c>
      <c r="N12" s="69">
        <f>N28+N44+N60</f>
        <v/>
      </c>
      <c r="O12" s="68" t="n"/>
      <c r="P12" s="48" t="n"/>
      <c r="Q12" s="70">
        <f>J12-C12</f>
        <v/>
      </c>
      <c r="R12" s="70">
        <f>K12-D12</f>
        <v/>
      </c>
      <c r="S12" s="70">
        <f>L12-E12</f>
        <v/>
      </c>
      <c r="T12" s="70">
        <f>M12-F12</f>
        <v/>
      </c>
      <c r="U12" s="70">
        <f>N12-G12</f>
        <v/>
      </c>
      <c r="V12" s="70">
        <f>O12-H12</f>
        <v/>
      </c>
      <c r="W12" s="48" t="n"/>
      <c r="X12" s="42">
        <f>IFERROR(J12/C12,0)</f>
        <v/>
      </c>
      <c r="Y12" s="42">
        <f>IFERROR(K12/D12,0)</f>
        <v/>
      </c>
      <c r="Z12" s="42">
        <f>IFERROR(L12/E12,0)</f>
        <v/>
      </c>
      <c r="AA12" s="42">
        <f>IFERROR(M12/F12,0)</f>
        <v/>
      </c>
      <c r="AB12" s="42">
        <f>IFERROR(N12/G12,0)</f>
        <v/>
      </c>
      <c r="AC12" s="42">
        <f>IFERROR(O12/H12,0)</f>
        <v/>
      </c>
    </row>
    <row r="13" outlineLevel="1" ht="14.9" customHeight="1" s="39">
      <c r="A13" s="74" t="n"/>
      <c r="B13" s="40" t="inlineStr">
        <is>
          <t>Oct</t>
        </is>
      </c>
      <c r="C13" s="68">
        <f>C29+C45+C61</f>
        <v/>
      </c>
      <c r="D13" s="68">
        <f>D29+D45+D61</f>
        <v/>
      </c>
      <c r="E13" s="68">
        <f>E29+E45+E61</f>
        <v/>
      </c>
      <c r="F13" s="68">
        <f>F29+F45+F61</f>
        <v/>
      </c>
      <c r="G13" s="68">
        <f>G29+G45+G61</f>
        <v/>
      </c>
      <c r="H13" s="68" t="n">
        <v>12586417.8727273</v>
      </c>
      <c r="I13" s="48" t="n"/>
      <c r="J13" s="69">
        <f>J29+J45+J61</f>
        <v/>
      </c>
      <c r="K13" s="69">
        <f>K29+K45+K61</f>
        <v/>
      </c>
      <c r="L13" s="69">
        <f>L29+L45+L61</f>
        <v/>
      </c>
      <c r="M13" s="69">
        <f>M29+M45+M61</f>
        <v/>
      </c>
      <c r="N13" s="69">
        <f>N29+N45+N61</f>
        <v/>
      </c>
      <c r="O13" s="68" t="n"/>
      <c r="P13" s="48" t="n"/>
      <c r="Q13" s="70">
        <f>J13-C13</f>
        <v/>
      </c>
      <c r="R13" s="70">
        <f>K13-D13</f>
        <v/>
      </c>
      <c r="S13" s="70">
        <f>L13-E13</f>
        <v/>
      </c>
      <c r="T13" s="70">
        <f>M13-F13</f>
        <v/>
      </c>
      <c r="U13" s="70">
        <f>N13-G13</f>
        <v/>
      </c>
      <c r="V13" s="70">
        <f>O13-H13</f>
        <v/>
      </c>
      <c r="W13" s="48" t="n"/>
      <c r="X13" s="42">
        <f>IFERROR(J13/C13,0)</f>
        <v/>
      </c>
      <c r="Y13" s="42">
        <f>IFERROR(K13/D13,0)</f>
        <v/>
      </c>
      <c r="Z13" s="42">
        <f>IFERROR(L13/E13,0)</f>
        <v/>
      </c>
      <c r="AA13" s="42">
        <f>IFERROR(M13/F13,0)</f>
        <v/>
      </c>
      <c r="AB13" s="42">
        <f>IFERROR(N13/G13,0)</f>
        <v/>
      </c>
      <c r="AC13" s="42">
        <f>IFERROR(O13/H13,0)</f>
        <v/>
      </c>
    </row>
    <row r="14" outlineLevel="1" ht="14.9" customHeight="1" s="39">
      <c r="A14" s="74" t="n"/>
      <c r="B14" s="40" t="inlineStr">
        <is>
          <t>Nov</t>
        </is>
      </c>
      <c r="C14" s="68">
        <f>C30+C46+C62</f>
        <v/>
      </c>
      <c r="D14" s="68">
        <f>D30+D46+D62</f>
        <v/>
      </c>
      <c r="E14" s="68">
        <f>E30+E46+E62</f>
        <v/>
      </c>
      <c r="F14" s="68">
        <f>F30+F46+F62</f>
        <v/>
      </c>
      <c r="G14" s="68">
        <f>G30+G46+G62</f>
        <v/>
      </c>
      <c r="H14" s="68" t="n">
        <v>30881907.7350649</v>
      </c>
      <c r="I14" s="48" t="n"/>
      <c r="J14" s="69">
        <f>J30+J46+J62</f>
        <v/>
      </c>
      <c r="K14" s="69">
        <f>K30+K46+K62</f>
        <v/>
      </c>
      <c r="L14" s="69">
        <f>L30+L46+L62</f>
        <v/>
      </c>
      <c r="M14" s="69">
        <f>M30+M46+M62</f>
        <v/>
      </c>
      <c r="N14" s="69">
        <f>N30+N46+N62</f>
        <v/>
      </c>
      <c r="O14" s="68" t="n"/>
      <c r="P14" s="48" t="n"/>
      <c r="Q14" s="70">
        <f>J14-C14</f>
        <v/>
      </c>
      <c r="R14" s="70">
        <f>K14-D14</f>
        <v/>
      </c>
      <c r="S14" s="70">
        <f>L14-E14</f>
        <v/>
      </c>
      <c r="T14" s="70">
        <f>M14-F14</f>
        <v/>
      </c>
      <c r="U14" s="70">
        <f>N14-G14</f>
        <v/>
      </c>
      <c r="V14" s="70">
        <f>O14-H14</f>
        <v/>
      </c>
      <c r="W14" s="48" t="n"/>
      <c r="X14" s="42">
        <f>IFERROR(J14/C14,0)</f>
        <v/>
      </c>
      <c r="Y14" s="42">
        <f>IFERROR(K14/D14,0)</f>
        <v/>
      </c>
      <c r="Z14" s="42">
        <f>IFERROR(L14/E14,0)</f>
        <v/>
      </c>
      <c r="AA14" s="42">
        <f>IFERROR(M14/F14,0)</f>
        <v/>
      </c>
      <c r="AB14" s="42">
        <f>IFERROR(N14/G14,0)</f>
        <v/>
      </c>
      <c r="AC14" s="42">
        <f>IFERROR(O14/H14,0)</f>
        <v/>
      </c>
    </row>
    <row r="15" outlineLevel="1" ht="14.9" customHeight="1" s="39">
      <c r="A15" s="74" t="n"/>
      <c r="B15" s="40" t="inlineStr">
        <is>
          <t>Dec</t>
        </is>
      </c>
      <c r="C15" s="68">
        <f>C31+C47+C63</f>
        <v/>
      </c>
      <c r="D15" s="68">
        <f>D31+D47+D63</f>
        <v/>
      </c>
      <c r="E15" s="68">
        <f>E31+E47+E63</f>
        <v/>
      </c>
      <c r="F15" s="68">
        <f>F31+F47+F63</f>
        <v/>
      </c>
      <c r="G15" s="68">
        <f>G31+G47+G63</f>
        <v/>
      </c>
      <c r="H15" s="68" t="n">
        <v>18203952.9402597</v>
      </c>
      <c r="I15" s="48" t="n"/>
      <c r="J15" s="69">
        <f>J31+J47+J63</f>
        <v/>
      </c>
      <c r="K15" s="69">
        <f>K31+K47+K63</f>
        <v/>
      </c>
      <c r="L15" s="69">
        <f>L31+L47+L63</f>
        <v/>
      </c>
      <c r="M15" s="69">
        <f>M31+M47+M63</f>
        <v/>
      </c>
      <c r="N15" s="69">
        <f>N31+N47+N63</f>
        <v/>
      </c>
      <c r="O15" s="68" t="n"/>
      <c r="P15" s="48" t="n"/>
      <c r="Q15" s="70">
        <f>J15-C15</f>
        <v/>
      </c>
      <c r="R15" s="70">
        <f>K15-D15</f>
        <v/>
      </c>
      <c r="S15" s="70">
        <f>L15-E15</f>
        <v/>
      </c>
      <c r="T15" s="70">
        <f>M15-F15</f>
        <v/>
      </c>
      <c r="U15" s="70">
        <f>N15-G15</f>
        <v/>
      </c>
      <c r="V15" s="70">
        <f>O15-H15</f>
        <v/>
      </c>
      <c r="W15" s="48" t="n"/>
      <c r="X15" s="42">
        <f>IFERROR(J15/C15,0)</f>
        <v/>
      </c>
      <c r="Y15" s="42">
        <f>IFERROR(K15/D15,0)</f>
        <v/>
      </c>
      <c r="Z15" s="42">
        <f>IFERROR(L15/E15,0)</f>
        <v/>
      </c>
      <c r="AA15" s="42">
        <f>IFERROR(M15/F15,0)</f>
        <v/>
      </c>
      <c r="AB15" s="42">
        <f>IFERROR(N15/G15,0)</f>
        <v/>
      </c>
      <c r="AC15" s="42">
        <f>IFERROR(O15/H15,0)</f>
        <v/>
      </c>
    </row>
    <row r="16" outlineLevel="1" ht="13.8" customHeight="1" s="39">
      <c r="A16" s="75" t="n"/>
      <c r="B16" s="59" t="inlineStr">
        <is>
          <t>Grand Total</t>
        </is>
      </c>
      <c r="C16" s="71">
        <f>SUM(C4:C15)</f>
        <v/>
      </c>
      <c r="D16" s="71">
        <f>SUM(D4:D15)</f>
        <v/>
      </c>
      <c r="E16" s="71">
        <f>SUM(E4:E15)</f>
        <v/>
      </c>
      <c r="F16" s="71">
        <f>SUM(F4:F15)</f>
        <v/>
      </c>
      <c r="G16" s="71">
        <f>SUM(G4:G15)</f>
        <v/>
      </c>
      <c r="H16" s="71">
        <f>SUM(H4:H15)</f>
        <v/>
      </c>
      <c r="I16" s="48" t="n"/>
      <c r="J16" s="71">
        <f>SUM(J4:J15)</f>
        <v/>
      </c>
      <c r="K16" s="71">
        <f>SUM(K4:K15)</f>
        <v/>
      </c>
      <c r="L16" s="71">
        <f>SUM(L4:L15)</f>
        <v/>
      </c>
      <c r="M16" s="71">
        <f>SUM(M4:M15)</f>
        <v/>
      </c>
      <c r="N16" s="71">
        <f>SUM(N4:N15)</f>
        <v/>
      </c>
      <c r="O16" s="71">
        <f>SUM(O4:O15)</f>
        <v/>
      </c>
      <c r="P16" s="48" t="n"/>
      <c r="Q16" s="71">
        <f>SUM(Q4:Q15)</f>
        <v/>
      </c>
      <c r="R16" s="71">
        <f>SUM(R4:R15)</f>
        <v/>
      </c>
      <c r="S16" s="71">
        <f>SUM(S4:S15)</f>
        <v/>
      </c>
      <c r="T16" s="71">
        <f>SUM(T4:T15)</f>
        <v/>
      </c>
      <c r="U16" s="71">
        <f>SUM(U4:U15)</f>
        <v/>
      </c>
      <c r="V16" s="71">
        <f>SUM(V4:V15)</f>
        <v/>
      </c>
      <c r="W16" s="48" t="n"/>
      <c r="X16" s="61">
        <f>IFERROR(J16/C16,0)</f>
        <v/>
      </c>
      <c r="Y16" s="61">
        <f>IFERROR(K16/D16,0)</f>
        <v/>
      </c>
      <c r="Z16" s="61">
        <f>IFERROR(L16/E16,0)</f>
        <v/>
      </c>
      <c r="AA16" s="61">
        <f>IFERROR(M16/F16,0)</f>
        <v/>
      </c>
      <c r="AB16" s="61">
        <f>IFERROR(N16/G16,0)</f>
        <v/>
      </c>
      <c r="AC16" s="61">
        <f>IFERROR(O16/H16,0)</f>
        <v/>
      </c>
    </row>
    <row r="17" outlineLevel="1" ht="13.8" customHeight="1" s="39"/>
    <row r="18" outlineLevel="2" ht="13.8" customHeight="1" s="39">
      <c r="A18" s="73" t="inlineStr">
        <is>
          <t>Export</t>
        </is>
      </c>
      <c r="B18" s="59" t="inlineStr">
        <is>
          <t>IN Lacs.</t>
        </is>
      </c>
      <c r="C18" s="67" t="inlineStr">
        <is>
          <t>Budgeted</t>
        </is>
      </c>
      <c r="D18" s="46" t="n"/>
      <c r="E18" s="46" t="n"/>
      <c r="F18" s="46" t="n"/>
      <c r="G18" s="46" t="n"/>
      <c r="H18" s="47" t="n"/>
      <c r="I18" s="48" t="n"/>
      <c r="J18" s="67" t="inlineStr">
        <is>
          <t>Actual</t>
        </is>
      </c>
      <c r="K18" s="46" t="n"/>
      <c r="L18" s="46" t="n"/>
      <c r="M18" s="46" t="n"/>
      <c r="N18" s="46" t="n"/>
      <c r="O18" s="47" t="n"/>
      <c r="P18" s="48" t="n"/>
      <c r="Q18" s="67" t="inlineStr">
        <is>
          <t>Variance</t>
        </is>
      </c>
      <c r="R18" s="46" t="n"/>
      <c r="S18" s="46" t="n"/>
      <c r="T18" s="46" t="n"/>
      <c r="U18" s="46" t="n"/>
      <c r="V18" s="47" t="n"/>
      <c r="W18" s="48" t="n"/>
      <c r="X18" s="67" t="inlineStr">
        <is>
          <t>Achivement %</t>
        </is>
      </c>
      <c r="Y18" s="46" t="n"/>
      <c r="Z18" s="46" t="n"/>
      <c r="AA18" s="46" t="n"/>
      <c r="AB18" s="46" t="n"/>
      <c r="AC18" s="47" t="n"/>
    </row>
    <row r="19" outlineLevel="2" ht="13.8" customHeight="1" s="39">
      <c r="A19" s="74" t="n"/>
      <c r="B19" s="59" t="inlineStr">
        <is>
          <t>Row Labels</t>
        </is>
      </c>
      <c r="C19" s="59" t="inlineStr">
        <is>
          <t>Qty</t>
        </is>
      </c>
      <c r="D19" s="59" t="inlineStr">
        <is>
          <t xml:space="preserve"> Gross Wt.</t>
        </is>
      </c>
      <c r="E19" s="59" t="inlineStr">
        <is>
          <t>Net Wt.</t>
        </is>
      </c>
      <c r="F19" s="59" t="inlineStr">
        <is>
          <t xml:space="preserve"> Dia Wt.</t>
        </is>
      </c>
      <c r="G19" s="59" t="inlineStr">
        <is>
          <t xml:space="preserve"> CLS Wt.</t>
        </is>
      </c>
      <c r="H19" s="59" t="inlineStr">
        <is>
          <t xml:space="preserve"> Value</t>
        </is>
      </c>
      <c r="I19" s="48" t="n"/>
      <c r="J19" s="59" t="inlineStr">
        <is>
          <t>Qty</t>
        </is>
      </c>
      <c r="K19" s="59" t="inlineStr">
        <is>
          <t xml:space="preserve"> Gross Wt.</t>
        </is>
      </c>
      <c r="L19" s="59" t="inlineStr">
        <is>
          <t>Net Wt.</t>
        </is>
      </c>
      <c r="M19" s="59" t="inlineStr">
        <is>
          <t xml:space="preserve"> Dia Wt.</t>
        </is>
      </c>
      <c r="N19" s="59" t="inlineStr">
        <is>
          <t xml:space="preserve"> CLS Wt.</t>
        </is>
      </c>
      <c r="O19" s="59" t="inlineStr">
        <is>
          <t xml:space="preserve"> Value</t>
        </is>
      </c>
      <c r="P19" s="48" t="n"/>
      <c r="Q19" s="59" t="inlineStr">
        <is>
          <t>Qty</t>
        </is>
      </c>
      <c r="R19" s="59" t="inlineStr">
        <is>
          <t xml:space="preserve"> Gross Wt.</t>
        </is>
      </c>
      <c r="S19" s="59" t="inlineStr">
        <is>
          <t>Net Wt.</t>
        </is>
      </c>
      <c r="T19" s="59" t="inlineStr">
        <is>
          <t xml:space="preserve"> Dia Wt.</t>
        </is>
      </c>
      <c r="U19" s="59" t="inlineStr">
        <is>
          <t xml:space="preserve"> CLS Wt.</t>
        </is>
      </c>
      <c r="V19" s="59" t="inlineStr">
        <is>
          <t xml:space="preserve"> Value</t>
        </is>
      </c>
      <c r="W19" s="48" t="n"/>
      <c r="X19" s="59" t="inlineStr">
        <is>
          <t>Qty</t>
        </is>
      </c>
      <c r="Y19" s="59" t="inlineStr">
        <is>
          <t xml:space="preserve"> Gross Wt.</t>
        </is>
      </c>
      <c r="Z19" s="59" t="inlineStr">
        <is>
          <t>Net Wt.</t>
        </is>
      </c>
      <c r="AA19" s="59" t="inlineStr">
        <is>
          <t xml:space="preserve"> Dia Wt.</t>
        </is>
      </c>
      <c r="AB19" s="59" t="inlineStr">
        <is>
          <t xml:space="preserve"> CLS Wt.</t>
        </is>
      </c>
      <c r="AC19" s="59" t="inlineStr">
        <is>
          <t xml:space="preserve"> Value</t>
        </is>
      </c>
    </row>
    <row r="20" outlineLevel="2" ht="14.9" customHeight="1" s="39">
      <c r="A20" s="74" t="n"/>
      <c r="B20" s="40" t="inlineStr">
        <is>
          <t>Jan</t>
        </is>
      </c>
      <c r="C20" s="68" t="n">
        <v>14585</v>
      </c>
      <c r="D20" s="41" t="n">
        <v>24299.6415</v>
      </c>
      <c r="E20" s="41" t="n">
        <v>21339.2341</v>
      </c>
      <c r="F20" s="41" t="n">
        <v>170.9614</v>
      </c>
      <c r="G20" s="41" t="n">
        <v>11766.0919</v>
      </c>
      <c r="H20" s="68" t="n">
        <v>35656714.7714286</v>
      </c>
      <c r="I20" s="48" t="n"/>
      <c r="J20" s="69" t="n">
        <v>8042</v>
      </c>
      <c r="K20" s="69" t="n">
        <v>17451.893</v>
      </c>
      <c r="L20" s="69" t="n">
        <v>10963.11</v>
      </c>
      <c r="M20" s="69" t="n">
        <v>210.26</v>
      </c>
      <c r="N20" s="69" t="n">
        <v>25624.631</v>
      </c>
      <c r="O20" s="69" t="n">
        <v>13445582.765</v>
      </c>
      <c r="P20" s="48" t="n"/>
      <c r="Q20" s="70">
        <f>J20-C20</f>
        <v/>
      </c>
      <c r="R20" s="70">
        <f>K20-D20</f>
        <v/>
      </c>
      <c r="S20" s="70">
        <f>L20-E20</f>
        <v/>
      </c>
      <c r="T20" s="70">
        <f>M20-F20</f>
        <v/>
      </c>
      <c r="U20" s="70">
        <f>N20-G20</f>
        <v/>
      </c>
      <c r="V20" s="70">
        <f>O20-H20</f>
        <v/>
      </c>
      <c r="W20" s="48" t="n"/>
      <c r="X20" s="42">
        <f>IFERROR(J20/C20,0)</f>
        <v/>
      </c>
      <c r="Y20" s="42">
        <f>IFERROR(K20/D20,0)</f>
        <v/>
      </c>
      <c r="Z20" s="42">
        <f>IFERROR(L20/E20,0)</f>
        <v/>
      </c>
      <c r="AA20" s="42">
        <f>IFERROR(M20/F20,0)</f>
        <v/>
      </c>
      <c r="AB20" s="42">
        <f>IFERROR(N20/G20,0)</f>
        <v/>
      </c>
      <c r="AC20" s="42">
        <f>IFERROR(O20/H20,0)</f>
        <v/>
      </c>
    </row>
    <row r="21" outlineLevel="2" ht="14.9" customHeight="1" s="39">
      <c r="A21" s="74" t="n"/>
      <c r="B21" s="40" t="inlineStr">
        <is>
          <t>Feb</t>
        </is>
      </c>
      <c r="C21" s="68" t="n">
        <v>5182.4</v>
      </c>
      <c r="D21" s="41" t="n">
        <v>12912.3275</v>
      </c>
      <c r="E21" s="41" t="n">
        <v>11381.7009</v>
      </c>
      <c r="F21" s="41" t="n">
        <v>122.7374</v>
      </c>
      <c r="G21" s="41" t="n">
        <v>12712.2145</v>
      </c>
      <c r="H21" s="68" t="n">
        <v>16100696.1168831</v>
      </c>
      <c r="I21" s="48" t="n"/>
      <c r="J21" s="69" t="n">
        <v>14941</v>
      </c>
      <c r="K21" s="69" t="n">
        <v>6934.041</v>
      </c>
      <c r="L21" s="69" t="n">
        <v>5937.59</v>
      </c>
      <c r="M21" s="69" t="n">
        <v>6.817</v>
      </c>
      <c r="N21" s="69" t="n">
        <v>5807.941</v>
      </c>
      <c r="O21" s="69" t="n">
        <v>4537902.7485</v>
      </c>
      <c r="P21" s="48" t="n"/>
      <c r="Q21" s="70">
        <f>J21-C21</f>
        <v/>
      </c>
      <c r="R21" s="70">
        <f>K21-D21</f>
        <v/>
      </c>
      <c r="S21" s="70">
        <f>L21-E21</f>
        <v/>
      </c>
      <c r="T21" s="70">
        <f>M21-F21</f>
        <v/>
      </c>
      <c r="U21" s="70">
        <f>N21-G21</f>
        <v/>
      </c>
      <c r="V21" s="70">
        <f>O21-H21</f>
        <v/>
      </c>
      <c r="W21" s="48" t="n"/>
      <c r="X21" s="42">
        <f>IFERROR(J21/C21,0)</f>
        <v/>
      </c>
      <c r="Y21" s="42">
        <f>IFERROR(K21/D21,0)</f>
        <v/>
      </c>
      <c r="Z21" s="42">
        <f>IFERROR(L21/E21,0)</f>
        <v/>
      </c>
      <c r="AA21" s="42">
        <f>IFERROR(M21/F21,0)</f>
        <v/>
      </c>
      <c r="AB21" s="42">
        <f>IFERROR(N21/G21,0)</f>
        <v/>
      </c>
      <c r="AC21" s="42">
        <f>IFERROR(O21/H21,0)</f>
        <v/>
      </c>
    </row>
    <row r="22" outlineLevel="2" ht="14.9" customHeight="1" s="39">
      <c r="A22" s="74" t="n"/>
      <c r="B22" s="40" t="inlineStr">
        <is>
          <t>Mar</t>
        </is>
      </c>
      <c r="C22" s="68" t="n">
        <v>7268.5</v>
      </c>
      <c r="D22" s="41" t="n">
        <v>16095.3546</v>
      </c>
      <c r="E22" s="41" t="n">
        <v>13285.6042</v>
      </c>
      <c r="F22" s="41" t="n">
        <v>110.5434</v>
      </c>
      <c r="G22" s="41" t="n">
        <v>9395.088</v>
      </c>
      <c r="H22" s="68" t="n">
        <v>20698983.7792208</v>
      </c>
      <c r="I22" s="48" t="n"/>
      <c r="J22" s="68" t="n"/>
      <c r="K22" s="41" t="n"/>
      <c r="L22" s="41" t="n"/>
      <c r="M22" s="41" t="n"/>
      <c r="N22" s="41" t="n"/>
      <c r="O22" s="68" t="n"/>
      <c r="P22" s="48" t="n"/>
      <c r="Q22" s="70">
        <f>J22-C22</f>
        <v/>
      </c>
      <c r="R22" s="70">
        <f>K22-D22</f>
        <v/>
      </c>
      <c r="S22" s="70">
        <f>L22-E22</f>
        <v/>
      </c>
      <c r="T22" s="70">
        <f>M22-F22</f>
        <v/>
      </c>
      <c r="U22" s="70">
        <f>N22-G22</f>
        <v/>
      </c>
      <c r="V22" s="70">
        <f>O22-H22</f>
        <v/>
      </c>
      <c r="W22" s="48" t="n"/>
      <c r="X22" s="42">
        <f>IFERROR(J22/C22,0)</f>
        <v/>
      </c>
      <c r="Y22" s="42">
        <f>IFERROR(K22/D22,0)</f>
        <v/>
      </c>
      <c r="Z22" s="42">
        <f>IFERROR(L22/E22,0)</f>
        <v/>
      </c>
      <c r="AA22" s="42">
        <f>IFERROR(M22/F22,0)</f>
        <v/>
      </c>
      <c r="AB22" s="42">
        <f>IFERROR(N22/G22,0)</f>
        <v/>
      </c>
      <c r="AC22" s="42">
        <f>IFERROR(O22/H22,0)</f>
        <v/>
      </c>
    </row>
    <row r="23" outlineLevel="2" ht="14.9" customHeight="1" s="39">
      <c r="A23" s="74" t="n"/>
      <c r="B23" s="40" t="inlineStr">
        <is>
          <t>Apr</t>
        </is>
      </c>
      <c r="C23" s="68" t="n">
        <v>4553.5</v>
      </c>
      <c r="D23" s="41" t="n">
        <v>8522.8822</v>
      </c>
      <c r="E23" s="41" t="n">
        <v>7279.9783</v>
      </c>
      <c r="F23" s="41" t="n">
        <v>92.8092</v>
      </c>
      <c r="G23" s="41" t="n">
        <v>5034.0979</v>
      </c>
      <c r="H23" s="68" t="n">
        <v>17339150.8987013</v>
      </c>
      <c r="I23" s="48" t="n"/>
      <c r="J23" s="68" t="n"/>
      <c r="K23" s="41" t="n"/>
      <c r="L23" s="41" t="n"/>
      <c r="M23" s="41" t="n"/>
      <c r="N23" s="41" t="n"/>
      <c r="O23" s="68" t="n"/>
      <c r="P23" s="48" t="n"/>
      <c r="Q23" s="70">
        <f>J23-C23</f>
        <v/>
      </c>
      <c r="R23" s="70">
        <f>K23-D23</f>
        <v/>
      </c>
      <c r="S23" s="70">
        <f>L23-E23</f>
        <v/>
      </c>
      <c r="T23" s="70">
        <f>M23-F23</f>
        <v/>
      </c>
      <c r="U23" s="70">
        <f>N23-G23</f>
        <v/>
      </c>
      <c r="V23" s="70">
        <f>O23-H23</f>
        <v/>
      </c>
      <c r="W23" s="48" t="n"/>
      <c r="X23" s="42">
        <f>IFERROR(J23/C23,0)</f>
        <v/>
      </c>
      <c r="Y23" s="42">
        <f>IFERROR(K23/D23,0)</f>
        <v/>
      </c>
      <c r="Z23" s="42">
        <f>IFERROR(L23/E23,0)</f>
        <v/>
      </c>
      <c r="AA23" s="42">
        <f>IFERROR(M23/F23,0)</f>
        <v/>
      </c>
      <c r="AB23" s="42">
        <f>IFERROR(N23/G23,0)</f>
        <v/>
      </c>
      <c r="AC23" s="42">
        <f>IFERROR(O23/H23,0)</f>
        <v/>
      </c>
    </row>
    <row r="24" outlineLevel="2" ht="14.9" customHeight="1" s="39">
      <c r="A24" s="74" t="n"/>
      <c r="B24" s="40" t="inlineStr">
        <is>
          <t>May</t>
        </is>
      </c>
      <c r="C24" s="68" t="n">
        <v>8185.2</v>
      </c>
      <c r="D24" s="41" t="n">
        <v>15604.6436</v>
      </c>
      <c r="E24" s="41" t="n">
        <v>13460.6701</v>
      </c>
      <c r="F24" s="41" t="n">
        <v>48.8947</v>
      </c>
      <c r="G24" s="41" t="n">
        <v>10208.9773</v>
      </c>
      <c r="H24" s="68" t="n">
        <v>12939052.2415584</v>
      </c>
      <c r="I24" s="48" t="n"/>
      <c r="J24" s="68" t="n"/>
      <c r="K24" s="41" t="n"/>
      <c r="L24" s="41" t="n"/>
      <c r="M24" s="41" t="n"/>
      <c r="N24" s="41" t="n"/>
      <c r="O24" s="68" t="n"/>
      <c r="P24" s="48" t="n"/>
      <c r="Q24" s="70">
        <f>J24-C24</f>
        <v/>
      </c>
      <c r="R24" s="70">
        <f>K24-D24</f>
        <v/>
      </c>
      <c r="S24" s="70">
        <f>L24-E24</f>
        <v/>
      </c>
      <c r="T24" s="70">
        <f>M24-F24</f>
        <v/>
      </c>
      <c r="U24" s="70">
        <f>N24-G24</f>
        <v/>
      </c>
      <c r="V24" s="70">
        <f>O24-H24</f>
        <v/>
      </c>
      <c r="W24" s="48" t="n"/>
      <c r="X24" s="42">
        <f>IFERROR(J24/C24,0)</f>
        <v/>
      </c>
      <c r="Y24" s="42">
        <f>IFERROR(K24/D24,0)</f>
        <v/>
      </c>
      <c r="Z24" s="42">
        <f>IFERROR(L24/E24,0)</f>
        <v/>
      </c>
      <c r="AA24" s="42">
        <f>IFERROR(M24/F24,0)</f>
        <v/>
      </c>
      <c r="AB24" s="42">
        <f>IFERROR(N24/G24,0)</f>
        <v/>
      </c>
      <c r="AC24" s="42">
        <f>IFERROR(O24/H24,0)</f>
        <v/>
      </c>
    </row>
    <row r="25" outlineLevel="2" ht="14.9" customHeight="1" s="39">
      <c r="A25" s="74" t="n"/>
      <c r="B25" s="40" t="inlineStr">
        <is>
          <t>Jun</t>
        </is>
      </c>
      <c r="C25" s="68" t="n">
        <v>5779.1</v>
      </c>
      <c r="D25" s="41" t="n">
        <v>8490.6674</v>
      </c>
      <c r="E25" s="41" t="n">
        <v>7117.1004</v>
      </c>
      <c r="F25" s="41" t="n">
        <v>35.9706</v>
      </c>
      <c r="G25" s="41" t="n">
        <v>6678.25220000002</v>
      </c>
      <c r="H25" s="68" t="n">
        <v>10535994.4441558</v>
      </c>
      <c r="I25" s="48" t="n"/>
      <c r="J25" s="68" t="n"/>
      <c r="K25" s="41" t="n"/>
      <c r="L25" s="41" t="n"/>
      <c r="M25" s="41" t="n"/>
      <c r="N25" s="41" t="n"/>
      <c r="O25" s="68" t="n"/>
      <c r="P25" s="48" t="n"/>
      <c r="Q25" s="70">
        <f>J25-C25</f>
        <v/>
      </c>
      <c r="R25" s="70">
        <f>K25-D25</f>
        <v/>
      </c>
      <c r="S25" s="70">
        <f>L25-E25</f>
        <v/>
      </c>
      <c r="T25" s="70">
        <f>M25-F25</f>
        <v/>
      </c>
      <c r="U25" s="70">
        <f>N25-G25</f>
        <v/>
      </c>
      <c r="V25" s="70">
        <f>O25-H25</f>
        <v/>
      </c>
      <c r="W25" s="48" t="n"/>
      <c r="X25" s="42">
        <f>IFERROR(J25/C25,0)</f>
        <v/>
      </c>
      <c r="Y25" s="42">
        <f>IFERROR(K25/D25,0)</f>
        <v/>
      </c>
      <c r="Z25" s="42">
        <f>IFERROR(L25/E25,0)</f>
        <v/>
      </c>
      <c r="AA25" s="42">
        <f>IFERROR(M25/F25,0)</f>
        <v/>
      </c>
      <c r="AB25" s="42">
        <f>IFERROR(N25/G25,0)</f>
        <v/>
      </c>
      <c r="AC25" s="42">
        <f>IFERROR(O25/H25,0)</f>
        <v/>
      </c>
    </row>
    <row r="26" outlineLevel="2" ht="14.9" customHeight="1" s="39">
      <c r="A26" s="74" t="n"/>
      <c r="B26" s="40" t="inlineStr">
        <is>
          <t>Jul</t>
        </is>
      </c>
      <c r="C26" s="68" t="n">
        <v>15034.2</v>
      </c>
      <c r="D26" s="41" t="n">
        <v>20533.7002</v>
      </c>
      <c r="E26" s="41" t="n">
        <v>17289.5445</v>
      </c>
      <c r="F26" s="41" t="n">
        <v>54.0222</v>
      </c>
      <c r="G26" s="41" t="n">
        <v>15543.2357</v>
      </c>
      <c r="H26" s="68" t="n">
        <v>22343511.7714286</v>
      </c>
      <c r="I26" s="48" t="n"/>
      <c r="J26" s="68" t="n"/>
      <c r="K26" s="41" t="n"/>
      <c r="L26" s="41" t="n"/>
      <c r="M26" s="41" t="n"/>
      <c r="N26" s="41" t="n"/>
      <c r="O26" s="68" t="n"/>
      <c r="P26" s="48" t="n"/>
      <c r="Q26" s="70">
        <f>J26-C26</f>
        <v/>
      </c>
      <c r="R26" s="70">
        <f>K26-D26</f>
        <v/>
      </c>
      <c r="S26" s="70">
        <f>L26-E26</f>
        <v/>
      </c>
      <c r="T26" s="70">
        <f>M26-F26</f>
        <v/>
      </c>
      <c r="U26" s="70">
        <f>N26-G26</f>
        <v/>
      </c>
      <c r="V26" s="70">
        <f>O26-H26</f>
        <v/>
      </c>
      <c r="W26" s="48" t="n"/>
      <c r="X26" s="42">
        <f>IFERROR(J26/C26,0)</f>
        <v/>
      </c>
      <c r="Y26" s="42">
        <f>IFERROR(K26/D26,0)</f>
        <v/>
      </c>
      <c r="Z26" s="42">
        <f>IFERROR(L26/E26,0)</f>
        <v/>
      </c>
      <c r="AA26" s="42">
        <f>IFERROR(M26/F26,0)</f>
        <v/>
      </c>
      <c r="AB26" s="42">
        <f>IFERROR(N26/G26,0)</f>
        <v/>
      </c>
      <c r="AC26" s="42">
        <f>IFERROR(O26/H26,0)</f>
        <v/>
      </c>
    </row>
    <row r="27" outlineLevel="2" ht="14.9" customHeight="1" s="39">
      <c r="A27" s="74" t="n"/>
      <c r="B27" s="40" t="inlineStr">
        <is>
          <t>Aug</t>
        </is>
      </c>
      <c r="C27" s="68" t="n">
        <v>9478.5</v>
      </c>
      <c r="D27" s="41" t="n">
        <v>16101.4269</v>
      </c>
      <c r="E27" s="41" t="n">
        <v>12312.4245</v>
      </c>
      <c r="F27" s="41" t="n">
        <v>60.8079</v>
      </c>
      <c r="G27" s="41" t="n">
        <v>17842.2314</v>
      </c>
      <c r="H27" s="68" t="n">
        <v>22367887.5272727</v>
      </c>
      <c r="I27" s="48" t="n"/>
      <c r="J27" s="68" t="n"/>
      <c r="K27" s="41" t="n"/>
      <c r="L27" s="41" t="n"/>
      <c r="M27" s="41" t="n"/>
      <c r="N27" s="41" t="n"/>
      <c r="O27" s="68" t="n"/>
      <c r="P27" s="48" t="n"/>
      <c r="Q27" s="70">
        <f>J27-C27</f>
        <v/>
      </c>
      <c r="R27" s="70">
        <f>K27-D27</f>
        <v/>
      </c>
      <c r="S27" s="70">
        <f>L27-E27</f>
        <v/>
      </c>
      <c r="T27" s="70">
        <f>M27-F27</f>
        <v/>
      </c>
      <c r="U27" s="70">
        <f>N27-G27</f>
        <v/>
      </c>
      <c r="V27" s="70">
        <f>O27-H27</f>
        <v/>
      </c>
      <c r="W27" s="48" t="n"/>
      <c r="X27" s="42">
        <f>IFERROR(J27/C27,0)</f>
        <v/>
      </c>
      <c r="Y27" s="42">
        <f>IFERROR(K27/D27,0)</f>
        <v/>
      </c>
      <c r="Z27" s="42">
        <f>IFERROR(L27/E27,0)</f>
        <v/>
      </c>
      <c r="AA27" s="42">
        <f>IFERROR(M27/F27,0)</f>
        <v/>
      </c>
      <c r="AB27" s="42">
        <f>IFERROR(N27/G27,0)</f>
        <v/>
      </c>
      <c r="AC27" s="42">
        <f>IFERROR(O27/H27,0)</f>
        <v/>
      </c>
    </row>
    <row r="28" outlineLevel="2" ht="14.9" customHeight="1" s="39">
      <c r="A28" s="74" t="n"/>
      <c r="B28" s="40" t="inlineStr">
        <is>
          <t>Sep</t>
        </is>
      </c>
      <c r="C28" s="68" t="n">
        <v>11836.5</v>
      </c>
      <c r="D28" s="41" t="n">
        <v>25285.068</v>
      </c>
      <c r="E28" s="41" t="n">
        <v>21016.226</v>
      </c>
      <c r="F28" s="41" t="n">
        <v>182.7419</v>
      </c>
      <c r="G28" s="41" t="n">
        <v>19593.0343</v>
      </c>
      <c r="H28" s="68" t="n">
        <v>28711121.8103896</v>
      </c>
      <c r="I28" s="48" t="n"/>
      <c r="J28" s="68" t="n"/>
      <c r="K28" s="41" t="n"/>
      <c r="L28" s="41" t="n"/>
      <c r="M28" s="41" t="n"/>
      <c r="N28" s="41" t="n"/>
      <c r="O28" s="68" t="n"/>
      <c r="P28" s="48" t="n"/>
      <c r="Q28" s="70">
        <f>J28-C28</f>
        <v/>
      </c>
      <c r="R28" s="70">
        <f>K28-D28</f>
        <v/>
      </c>
      <c r="S28" s="70">
        <f>L28-E28</f>
        <v/>
      </c>
      <c r="T28" s="70">
        <f>M28-F28</f>
        <v/>
      </c>
      <c r="U28" s="70">
        <f>N28-G28</f>
        <v/>
      </c>
      <c r="V28" s="70">
        <f>O28-H28</f>
        <v/>
      </c>
      <c r="W28" s="48" t="n"/>
      <c r="X28" s="42">
        <f>IFERROR(J28/C28,0)</f>
        <v/>
      </c>
      <c r="Y28" s="42">
        <f>IFERROR(K28/D28,0)</f>
        <v/>
      </c>
      <c r="Z28" s="42">
        <f>IFERROR(L28/E28,0)</f>
        <v/>
      </c>
      <c r="AA28" s="42">
        <f>IFERROR(M28/F28,0)</f>
        <v/>
      </c>
      <c r="AB28" s="42">
        <f>IFERROR(N28/G28,0)</f>
        <v/>
      </c>
      <c r="AC28" s="42">
        <f>IFERROR(O28/H28,0)</f>
        <v/>
      </c>
    </row>
    <row r="29" outlineLevel="2" ht="14.9" customHeight="1" s="39">
      <c r="A29" s="74" t="n"/>
      <c r="B29" s="40" t="inlineStr">
        <is>
          <t>Oct</t>
        </is>
      </c>
      <c r="C29" s="68" t="n">
        <v>5255.3</v>
      </c>
      <c r="D29" s="41" t="n">
        <v>12563.9413</v>
      </c>
      <c r="E29" s="41" t="n">
        <v>11518.7904</v>
      </c>
      <c r="F29" s="41" t="n">
        <v>42.8386</v>
      </c>
      <c r="G29" s="41" t="n">
        <v>4700.1273</v>
      </c>
      <c r="H29" s="68" t="n">
        <v>12586417.8727273</v>
      </c>
      <c r="I29" s="48" t="n"/>
      <c r="J29" s="68" t="n"/>
      <c r="K29" s="41" t="n"/>
      <c r="L29" s="41" t="n"/>
      <c r="M29" s="41" t="n"/>
      <c r="N29" s="41" t="n"/>
      <c r="O29" s="68" t="n"/>
      <c r="P29" s="48" t="n"/>
      <c r="Q29" s="70">
        <f>J29-C29</f>
        <v/>
      </c>
      <c r="R29" s="70">
        <f>K29-D29</f>
        <v/>
      </c>
      <c r="S29" s="70">
        <f>L29-E29</f>
        <v/>
      </c>
      <c r="T29" s="70">
        <f>M29-F29</f>
        <v/>
      </c>
      <c r="U29" s="70">
        <f>N29-G29</f>
        <v/>
      </c>
      <c r="V29" s="70">
        <f>O29-H29</f>
        <v/>
      </c>
      <c r="W29" s="48" t="n"/>
      <c r="X29" s="42">
        <f>IFERROR(J29/C29,0)</f>
        <v/>
      </c>
      <c r="Y29" s="42">
        <f>IFERROR(K29/D29,0)</f>
        <v/>
      </c>
      <c r="Z29" s="42">
        <f>IFERROR(L29/E29,0)</f>
        <v/>
      </c>
      <c r="AA29" s="42">
        <f>IFERROR(M29/F29,0)</f>
        <v/>
      </c>
      <c r="AB29" s="42">
        <f>IFERROR(N29/G29,0)</f>
        <v/>
      </c>
      <c r="AC29" s="42">
        <f>IFERROR(O29/H29,0)</f>
        <v/>
      </c>
    </row>
    <row r="30" outlineLevel="2" ht="14.9" customHeight="1" s="39">
      <c r="A30" s="74" t="n"/>
      <c r="B30" s="40" t="inlineStr">
        <is>
          <t>Nov</t>
        </is>
      </c>
      <c r="C30" s="68" t="n">
        <v>14072.9</v>
      </c>
      <c r="D30" s="41" t="n">
        <v>30961.9383</v>
      </c>
      <c r="E30" s="41" t="n">
        <v>24511.2034</v>
      </c>
      <c r="F30" s="41" t="n">
        <v>139.6807</v>
      </c>
      <c r="G30" s="41" t="n">
        <v>30064.3758</v>
      </c>
      <c r="H30" s="68" t="n">
        <v>30881907.7350649</v>
      </c>
      <c r="I30" s="48" t="n"/>
      <c r="J30" s="68" t="n"/>
      <c r="K30" s="41" t="n"/>
      <c r="L30" s="41" t="n"/>
      <c r="M30" s="41" t="n"/>
      <c r="N30" s="41" t="n"/>
      <c r="O30" s="68" t="n"/>
      <c r="P30" s="48" t="n"/>
      <c r="Q30" s="70">
        <f>J30-C30</f>
        <v/>
      </c>
      <c r="R30" s="70">
        <f>K30-D30</f>
        <v/>
      </c>
      <c r="S30" s="70">
        <f>L30-E30</f>
        <v/>
      </c>
      <c r="T30" s="70">
        <f>M30-F30</f>
        <v/>
      </c>
      <c r="U30" s="70">
        <f>N30-G30</f>
        <v/>
      </c>
      <c r="V30" s="70">
        <f>O30-H30</f>
        <v/>
      </c>
      <c r="W30" s="48" t="n"/>
      <c r="X30" s="42">
        <f>IFERROR(J30/C30,0)</f>
        <v/>
      </c>
      <c r="Y30" s="42">
        <f>IFERROR(K30/D30,0)</f>
        <v/>
      </c>
      <c r="Z30" s="42">
        <f>IFERROR(L30/E30,0)</f>
        <v/>
      </c>
      <c r="AA30" s="42">
        <f>IFERROR(M30/F30,0)</f>
        <v/>
      </c>
      <c r="AB30" s="42">
        <f>IFERROR(N30/G30,0)</f>
        <v/>
      </c>
      <c r="AC30" s="42">
        <f>IFERROR(O30/H30,0)</f>
        <v/>
      </c>
    </row>
    <row r="31" outlineLevel="2" ht="14.9" customHeight="1" s="39">
      <c r="A31" s="74" t="n"/>
      <c r="B31" s="40" t="inlineStr">
        <is>
          <t>Dec</t>
        </is>
      </c>
      <c r="C31" s="68" t="n">
        <v>3971.9</v>
      </c>
      <c r="D31" s="41" t="n">
        <v>12737.8025</v>
      </c>
      <c r="E31" s="41" t="n">
        <v>6693.2084</v>
      </c>
      <c r="F31" s="41" t="n">
        <v>123.5438</v>
      </c>
      <c r="G31" s="41" t="n">
        <v>29500.2953</v>
      </c>
      <c r="H31" s="68" t="n">
        <v>18203952.9402597</v>
      </c>
      <c r="I31" s="48" t="n"/>
      <c r="J31" s="68" t="n"/>
      <c r="K31" s="41" t="n"/>
      <c r="L31" s="41" t="n"/>
      <c r="M31" s="41" t="n"/>
      <c r="N31" s="41" t="n"/>
      <c r="O31" s="68" t="n"/>
      <c r="P31" s="48" t="n"/>
      <c r="Q31" s="70">
        <f>J31-C31</f>
        <v/>
      </c>
      <c r="R31" s="70">
        <f>K31-D31</f>
        <v/>
      </c>
      <c r="S31" s="70">
        <f>L31-E31</f>
        <v/>
      </c>
      <c r="T31" s="70">
        <f>M31-F31</f>
        <v/>
      </c>
      <c r="U31" s="70">
        <f>N31-G31</f>
        <v/>
      </c>
      <c r="V31" s="70">
        <f>O31-H31</f>
        <v/>
      </c>
      <c r="W31" s="48" t="n"/>
      <c r="X31" s="42">
        <f>IFERROR(J31/C31,0)</f>
        <v/>
      </c>
      <c r="Y31" s="42">
        <f>IFERROR(K31/D31,0)</f>
        <v/>
      </c>
      <c r="Z31" s="42">
        <f>IFERROR(L31/E31,0)</f>
        <v/>
      </c>
      <c r="AA31" s="42">
        <f>IFERROR(M31/F31,0)</f>
        <v/>
      </c>
      <c r="AB31" s="42">
        <f>IFERROR(N31/G31,0)</f>
        <v/>
      </c>
      <c r="AC31" s="42">
        <f>IFERROR(O31/H31,0)</f>
        <v/>
      </c>
    </row>
    <row r="32" outlineLevel="2" ht="13.8" customHeight="1" s="39">
      <c r="A32" s="75" t="n"/>
      <c r="B32" s="59" t="inlineStr">
        <is>
          <t>Grand Total</t>
        </is>
      </c>
      <c r="C32" s="71">
        <f>SUM(C20:C31)</f>
        <v/>
      </c>
      <c r="D32" s="71">
        <f>SUM(D20:D31)</f>
        <v/>
      </c>
      <c r="E32" s="71">
        <f>SUM(E20:E31)</f>
        <v/>
      </c>
      <c r="F32" s="71">
        <f>SUM(F20:F31)</f>
        <v/>
      </c>
      <c r="G32" s="71">
        <f>SUM(G20:G31)</f>
        <v/>
      </c>
      <c r="H32" s="71">
        <f>SUM(H20:H31)</f>
        <v/>
      </c>
      <c r="I32" s="48" t="n"/>
      <c r="J32" s="71">
        <f>SUM(J20:J31)</f>
        <v/>
      </c>
      <c r="K32" s="71">
        <f>SUM(K20:K31)</f>
        <v/>
      </c>
      <c r="L32" s="71">
        <f>SUM(L20:L31)</f>
        <v/>
      </c>
      <c r="M32" s="71">
        <f>SUM(M20:M31)</f>
        <v/>
      </c>
      <c r="N32" s="71">
        <f>SUM(N20:N31)</f>
        <v/>
      </c>
      <c r="O32" s="71">
        <f>SUM(O20:O31)</f>
        <v/>
      </c>
      <c r="P32" s="48" t="n"/>
      <c r="Q32" s="71">
        <f>SUM(Q20:Q31)</f>
        <v/>
      </c>
      <c r="R32" s="71">
        <f>SUM(R20:R31)</f>
        <v/>
      </c>
      <c r="S32" s="71">
        <f>SUM(S20:S31)</f>
        <v/>
      </c>
      <c r="T32" s="71">
        <f>SUM(T20:T31)</f>
        <v/>
      </c>
      <c r="U32" s="71">
        <f>SUM(U20:U31)</f>
        <v/>
      </c>
      <c r="V32" s="71">
        <f>SUM(V20:V31)</f>
        <v/>
      </c>
      <c r="W32" s="48" t="n"/>
      <c r="X32" s="61">
        <f>IFERROR(J32/C32,0)</f>
        <v/>
      </c>
      <c r="Y32" s="61">
        <f>IFERROR(K32/D32,0)</f>
        <v/>
      </c>
      <c r="Z32" s="61">
        <f>IFERROR(L32/E32,0)</f>
        <v/>
      </c>
      <c r="AA32" s="61">
        <f>IFERROR(M32/F32,0)</f>
        <v/>
      </c>
      <c r="AB32" s="61">
        <f>IFERROR(N32/G32,0)</f>
        <v/>
      </c>
      <c r="AC32" s="61">
        <f>IFERROR(O32/H32,0)</f>
        <v/>
      </c>
    </row>
    <row r="33" outlineLevel="1" ht="13.8" customHeight="1" s="39"/>
    <row r="34" outlineLevel="2" ht="13.8" customHeight="1" s="39">
      <c r="A34" s="73" t="inlineStr">
        <is>
          <t>B2B</t>
        </is>
      </c>
      <c r="B34" s="59" t="inlineStr">
        <is>
          <t>IN Lacs.</t>
        </is>
      </c>
      <c r="C34" s="67" t="inlineStr">
        <is>
          <t>Budgeted</t>
        </is>
      </c>
      <c r="D34" s="46" t="n"/>
      <c r="E34" s="46" t="n"/>
      <c r="F34" s="46" t="n"/>
      <c r="G34" s="46" t="n"/>
      <c r="H34" s="47" t="n"/>
      <c r="I34" s="48" t="n"/>
      <c r="J34" s="67" t="inlineStr">
        <is>
          <t>Actual</t>
        </is>
      </c>
      <c r="K34" s="46" t="n"/>
      <c r="L34" s="46" t="n"/>
      <c r="M34" s="46" t="n"/>
      <c r="N34" s="46" t="n"/>
      <c r="O34" s="47" t="n"/>
      <c r="P34" s="48" t="n"/>
      <c r="Q34" s="67" t="inlineStr">
        <is>
          <t>Variance</t>
        </is>
      </c>
      <c r="R34" s="46" t="n"/>
      <c r="S34" s="46" t="n"/>
      <c r="T34" s="46" t="n"/>
      <c r="U34" s="46" t="n"/>
      <c r="V34" s="47" t="n"/>
      <c r="W34" s="48" t="n"/>
      <c r="X34" s="67" t="inlineStr">
        <is>
          <t>Achivement %</t>
        </is>
      </c>
      <c r="Y34" s="46" t="n"/>
      <c r="Z34" s="46" t="n"/>
      <c r="AA34" s="46" t="n"/>
      <c r="AB34" s="46" t="n"/>
      <c r="AC34" s="47" t="n"/>
    </row>
    <row r="35" outlineLevel="2" ht="13.8" customHeight="1" s="39">
      <c r="A35" s="74" t="n"/>
      <c r="B35" s="59" t="inlineStr">
        <is>
          <t>Row Labels</t>
        </is>
      </c>
      <c r="C35" s="59" t="inlineStr">
        <is>
          <t>Qty</t>
        </is>
      </c>
      <c r="D35" s="59" t="inlineStr">
        <is>
          <t xml:space="preserve"> Gross Wt.</t>
        </is>
      </c>
      <c r="E35" s="59" t="inlineStr">
        <is>
          <t>Net Wt.</t>
        </is>
      </c>
      <c r="F35" s="59" t="inlineStr">
        <is>
          <t xml:space="preserve"> Dia Wt.</t>
        </is>
      </c>
      <c r="G35" s="59" t="inlineStr">
        <is>
          <t xml:space="preserve"> CLS Wt.</t>
        </is>
      </c>
      <c r="H35" s="59" t="inlineStr">
        <is>
          <t xml:space="preserve"> Value</t>
        </is>
      </c>
      <c r="I35" s="48" t="n"/>
      <c r="J35" s="59" t="inlineStr">
        <is>
          <t>Qty</t>
        </is>
      </c>
      <c r="K35" s="59" t="inlineStr">
        <is>
          <t xml:space="preserve"> Gross Wt.</t>
        </is>
      </c>
      <c r="L35" s="59" t="inlineStr">
        <is>
          <t>Net Wt.</t>
        </is>
      </c>
      <c r="M35" s="59" t="inlineStr">
        <is>
          <t xml:space="preserve"> Dia Wt.</t>
        </is>
      </c>
      <c r="N35" s="59" t="inlineStr">
        <is>
          <t xml:space="preserve"> CLS Wt.</t>
        </is>
      </c>
      <c r="O35" s="59" t="inlineStr">
        <is>
          <t xml:space="preserve"> Value</t>
        </is>
      </c>
      <c r="P35" s="48" t="n"/>
      <c r="Q35" s="59" t="inlineStr">
        <is>
          <t>Qty</t>
        </is>
      </c>
      <c r="R35" s="59" t="inlineStr">
        <is>
          <t xml:space="preserve"> Gross Wt.</t>
        </is>
      </c>
      <c r="S35" s="59" t="inlineStr">
        <is>
          <t>Net Wt.</t>
        </is>
      </c>
      <c r="T35" s="59" t="inlineStr">
        <is>
          <t xml:space="preserve"> Dia Wt.</t>
        </is>
      </c>
      <c r="U35" s="59" t="inlineStr">
        <is>
          <t xml:space="preserve"> CLS Wt.</t>
        </is>
      </c>
      <c r="V35" s="59" t="inlineStr">
        <is>
          <t xml:space="preserve"> Value</t>
        </is>
      </c>
      <c r="W35" s="48" t="n"/>
      <c r="X35" s="59" t="inlineStr">
        <is>
          <t>Qty</t>
        </is>
      </c>
      <c r="Y35" s="59" t="inlineStr">
        <is>
          <t xml:space="preserve"> Gross Wt.</t>
        </is>
      </c>
      <c r="Z35" s="59" t="inlineStr">
        <is>
          <t>Net Wt.</t>
        </is>
      </c>
      <c r="AA35" s="59" t="inlineStr">
        <is>
          <t xml:space="preserve"> Dia Wt.</t>
        </is>
      </c>
      <c r="AB35" s="59" t="inlineStr">
        <is>
          <t xml:space="preserve"> CLS Wt.</t>
        </is>
      </c>
      <c r="AC35" s="59" t="inlineStr">
        <is>
          <t xml:space="preserve"> Value</t>
        </is>
      </c>
    </row>
    <row r="36" outlineLevel="2" ht="14.9" customHeight="1" s="39">
      <c r="A36" s="74" t="n"/>
      <c r="B36" s="40" t="inlineStr">
        <is>
          <t>Jan</t>
        </is>
      </c>
      <c r="C36" s="68" t="n">
        <v>216.6</v>
      </c>
      <c r="D36" s="41" t="n">
        <v>3714.3342</v>
      </c>
      <c r="E36" s="41" t="n">
        <v>3596.1408</v>
      </c>
      <c r="F36" s="41" t="n">
        <v>10.9254</v>
      </c>
      <c r="G36" s="41" t="n">
        <v>556.6692</v>
      </c>
      <c r="H36" s="68" t="n">
        <v>3244924.55260907</v>
      </c>
      <c r="I36" s="48" t="n"/>
      <c r="J36" s="69" t="n">
        <v>499</v>
      </c>
      <c r="K36" s="69" t="n">
        <v>2872.223</v>
      </c>
      <c r="L36" s="69" t="n">
        <v>2502.385</v>
      </c>
      <c r="M36" s="69" t="n">
        <v>2.235</v>
      </c>
      <c r="N36" s="69" t="n">
        <v>2675.733</v>
      </c>
      <c r="O36" s="69" t="n">
        <v>1588430.37</v>
      </c>
      <c r="P36" s="48" t="n"/>
      <c r="Q36" s="70">
        <f>J36-C36</f>
        <v/>
      </c>
      <c r="R36" s="70">
        <f>K36-D36</f>
        <v/>
      </c>
      <c r="S36" s="70">
        <f>L36-E36</f>
        <v/>
      </c>
      <c r="T36" s="70">
        <f>M36-F36</f>
        <v/>
      </c>
      <c r="U36" s="70">
        <f>N36-G36</f>
        <v/>
      </c>
      <c r="V36" s="70">
        <f>O36-H36</f>
        <v/>
      </c>
      <c r="W36" s="48" t="n"/>
      <c r="X36" s="42">
        <f>IFERROR(J36/C36,0)</f>
        <v/>
      </c>
      <c r="Y36" s="42">
        <f>IFERROR(K36/D36,0)</f>
        <v/>
      </c>
      <c r="Z36" s="42">
        <f>IFERROR(L36/E36,0)</f>
        <v/>
      </c>
      <c r="AA36" s="42">
        <f>IFERROR(M36/F36,0)</f>
        <v/>
      </c>
      <c r="AB36" s="42">
        <f>IFERROR(N36/G36,0)</f>
        <v/>
      </c>
      <c r="AC36" s="42">
        <f>IFERROR(O36/H36,0)</f>
        <v/>
      </c>
    </row>
    <row r="37" outlineLevel="2" ht="14.9" customHeight="1" s="39">
      <c r="A37" s="74" t="n"/>
      <c r="B37" s="40" t="inlineStr">
        <is>
          <t>Feb</t>
        </is>
      </c>
      <c r="C37" s="68" t="n">
        <v>144.6</v>
      </c>
      <c r="D37" s="41" t="n">
        <v>646.9607999999999</v>
      </c>
      <c r="E37" s="41" t="n">
        <v>486.2223</v>
      </c>
      <c r="F37" s="41" t="n">
        <v>29.3828</v>
      </c>
      <c r="G37" s="41" t="n">
        <v>767.3412</v>
      </c>
      <c r="H37" s="68" t="n">
        <v>3084628.53173653</v>
      </c>
      <c r="I37" s="48" t="n"/>
      <c r="J37" s="69" t="n">
        <v>229</v>
      </c>
      <c r="K37" s="69" t="n">
        <v>3057.565</v>
      </c>
      <c r="L37" s="69" t="n">
        <v>782.864</v>
      </c>
      <c r="M37" s="69" t="n">
        <v>133.476</v>
      </c>
      <c r="N37" s="69" t="n">
        <v>1036.89</v>
      </c>
      <c r="O37" s="69" t="n">
        <v>8766031.42</v>
      </c>
      <c r="P37" s="48" t="n"/>
      <c r="Q37" s="70">
        <f>J37-C37</f>
        <v/>
      </c>
      <c r="R37" s="70">
        <f>K37-D37</f>
        <v/>
      </c>
      <c r="S37" s="70">
        <f>L37-E37</f>
        <v/>
      </c>
      <c r="T37" s="70">
        <f>M37-F37</f>
        <v/>
      </c>
      <c r="U37" s="70">
        <f>N37-G37</f>
        <v/>
      </c>
      <c r="V37" s="70">
        <f>O37-H37</f>
        <v/>
      </c>
      <c r="W37" s="48" t="n"/>
      <c r="X37" s="42">
        <f>IFERROR(J37/C37,0)</f>
        <v/>
      </c>
      <c r="Y37" s="42">
        <f>IFERROR(K37/D37,0)</f>
        <v/>
      </c>
      <c r="Z37" s="42">
        <f>IFERROR(L37/E37,0)</f>
        <v/>
      </c>
      <c r="AA37" s="42">
        <f>IFERROR(M37/F37,0)</f>
        <v/>
      </c>
      <c r="AB37" s="42">
        <f>IFERROR(N37/G37,0)</f>
        <v/>
      </c>
      <c r="AC37" s="42">
        <f>IFERROR(O37/H37,0)</f>
        <v/>
      </c>
    </row>
    <row r="38" outlineLevel="2" ht="14.9" customHeight="1" s="39">
      <c r="A38" s="74" t="n"/>
      <c r="B38" s="40" t="inlineStr">
        <is>
          <t>Mar</t>
        </is>
      </c>
      <c r="C38" s="68" t="n">
        <v>938.2</v>
      </c>
      <c r="D38" s="41" t="n">
        <v>5350.7106</v>
      </c>
      <c r="E38" s="41" t="n">
        <v>4902.2439</v>
      </c>
      <c r="F38" s="41" t="n">
        <v>20.742</v>
      </c>
      <c r="G38" s="41" t="n">
        <v>2177.9796</v>
      </c>
      <c r="H38" s="68" t="n">
        <v>7158230.66073567</v>
      </c>
      <c r="I38" s="48" t="n"/>
      <c r="J38" s="68" t="n"/>
      <c r="K38" s="41" t="n"/>
      <c r="L38" s="41" t="n"/>
      <c r="M38" s="41" t="n"/>
      <c r="N38" s="41" t="n"/>
      <c r="O38" s="68" t="n"/>
      <c r="P38" s="48" t="n"/>
      <c r="Q38" s="70">
        <f>J38-C38</f>
        <v/>
      </c>
      <c r="R38" s="70">
        <f>K38-D38</f>
        <v/>
      </c>
      <c r="S38" s="70">
        <f>L38-E38</f>
        <v/>
      </c>
      <c r="T38" s="70">
        <f>M38-F38</f>
        <v/>
      </c>
      <c r="U38" s="70">
        <f>N38-G38</f>
        <v/>
      </c>
      <c r="V38" s="70">
        <f>O38-H38</f>
        <v/>
      </c>
      <c r="W38" s="48" t="n"/>
      <c r="X38" s="42">
        <f>IFERROR(J38/C38,0)</f>
        <v/>
      </c>
      <c r="Y38" s="42">
        <f>IFERROR(K38/D38,0)</f>
        <v/>
      </c>
      <c r="Z38" s="42">
        <f>IFERROR(L38/E38,0)</f>
        <v/>
      </c>
      <c r="AA38" s="42">
        <f>IFERROR(M38/F38,0)</f>
        <v/>
      </c>
      <c r="AB38" s="42">
        <f>IFERROR(N38/G38,0)</f>
        <v/>
      </c>
      <c r="AC38" s="42">
        <f>IFERROR(O38/H38,0)</f>
        <v/>
      </c>
    </row>
    <row r="39" outlineLevel="2" ht="14.9" customHeight="1" s="39">
      <c r="A39" s="74" t="n"/>
      <c r="B39" s="40" t="inlineStr">
        <is>
          <t>Apr</t>
        </is>
      </c>
      <c r="C39" s="68" t="n">
        <v>868.3</v>
      </c>
      <c r="D39" s="41" t="n">
        <v>2232.8362</v>
      </c>
      <c r="E39" s="41" t="n">
        <v>1950.5219</v>
      </c>
      <c r="F39" s="41" t="n">
        <v>9.350099999999999</v>
      </c>
      <c r="G39" s="41" t="n">
        <v>1338.2561</v>
      </c>
      <c r="H39" s="68" t="n">
        <v>3810974.51873396</v>
      </c>
      <c r="I39" s="48" t="n"/>
      <c r="J39" s="68" t="n"/>
      <c r="K39" s="41" t="n"/>
      <c r="L39" s="41" t="n"/>
      <c r="M39" s="41" t="n"/>
      <c r="N39" s="41" t="n"/>
      <c r="O39" s="68" t="n"/>
      <c r="P39" s="48" t="n"/>
      <c r="Q39" s="70">
        <f>J39-C39</f>
        <v/>
      </c>
      <c r="R39" s="70">
        <f>K39-D39</f>
        <v/>
      </c>
      <c r="S39" s="70">
        <f>L39-E39</f>
        <v/>
      </c>
      <c r="T39" s="70">
        <f>M39-F39</f>
        <v/>
      </c>
      <c r="U39" s="70">
        <f>N39-G39</f>
        <v/>
      </c>
      <c r="V39" s="70">
        <f>O39-H39</f>
        <v/>
      </c>
      <c r="W39" s="48" t="n"/>
      <c r="X39" s="42">
        <f>IFERROR(J39/C39,0)</f>
        <v/>
      </c>
      <c r="Y39" s="42">
        <f>IFERROR(K39/D39,0)</f>
        <v/>
      </c>
      <c r="Z39" s="42">
        <f>IFERROR(L39/E39,0)</f>
        <v/>
      </c>
      <c r="AA39" s="42">
        <f>IFERROR(M39/F39,0)</f>
        <v/>
      </c>
      <c r="AB39" s="42">
        <f>IFERROR(N39/G39,0)</f>
        <v/>
      </c>
      <c r="AC39" s="42">
        <f>IFERROR(O39/H39,0)</f>
        <v/>
      </c>
    </row>
    <row r="40" outlineLevel="2" ht="14.9" customHeight="1" s="39">
      <c r="A40" s="74" t="n"/>
      <c r="B40" s="40" t="inlineStr">
        <is>
          <t>May</t>
        </is>
      </c>
      <c r="C40" s="68" t="n">
        <v>302.7</v>
      </c>
      <c r="D40" s="41" t="n">
        <v>1150.563</v>
      </c>
      <c r="E40" s="41" t="n">
        <v>981.3859</v>
      </c>
      <c r="F40" s="41" t="n">
        <v>21.8952</v>
      </c>
      <c r="G40" s="41" t="n">
        <v>185.6624</v>
      </c>
      <c r="H40" s="68" t="n">
        <v>4878747.30094098</v>
      </c>
      <c r="I40" s="48" t="n"/>
      <c r="J40" s="68" t="n"/>
      <c r="K40" s="41" t="n"/>
      <c r="L40" s="41" t="n"/>
      <c r="M40" s="41" t="n"/>
      <c r="N40" s="41" t="n"/>
      <c r="O40" s="68" t="n"/>
      <c r="P40" s="48" t="n"/>
      <c r="Q40" s="70">
        <f>J40-C40</f>
        <v/>
      </c>
      <c r="R40" s="70">
        <f>K40-D40</f>
        <v/>
      </c>
      <c r="S40" s="70">
        <f>L40-E40</f>
        <v/>
      </c>
      <c r="T40" s="70">
        <f>M40-F40</f>
        <v/>
      </c>
      <c r="U40" s="70">
        <f>N40-G40</f>
        <v/>
      </c>
      <c r="V40" s="70">
        <f>O40-H40</f>
        <v/>
      </c>
      <c r="W40" s="48" t="n"/>
      <c r="X40" s="42">
        <f>IFERROR(J40/C40,0)</f>
        <v/>
      </c>
      <c r="Y40" s="42">
        <f>IFERROR(K40/D40,0)</f>
        <v/>
      </c>
      <c r="Z40" s="42">
        <f>IFERROR(L40/E40,0)</f>
        <v/>
      </c>
      <c r="AA40" s="42">
        <f>IFERROR(M40/F40,0)</f>
        <v/>
      </c>
      <c r="AB40" s="42">
        <f>IFERROR(N40/G40,0)</f>
        <v/>
      </c>
      <c r="AC40" s="42">
        <f>IFERROR(O40/H40,0)</f>
        <v/>
      </c>
    </row>
    <row r="41" outlineLevel="2" ht="14.9" customHeight="1" s="39">
      <c r="A41" s="74" t="n"/>
      <c r="B41" s="40" t="inlineStr">
        <is>
          <t>Jun</t>
        </is>
      </c>
      <c r="C41" s="68" t="n">
        <v>1144.7</v>
      </c>
      <c r="D41" s="41" t="n">
        <v>2731.2586</v>
      </c>
      <c r="E41" s="41" t="n">
        <v>2270.355</v>
      </c>
      <c r="F41" s="41" t="n">
        <v>7.9894</v>
      </c>
      <c r="G41" s="41" t="n">
        <v>2158.6592</v>
      </c>
      <c r="H41" s="68" t="n">
        <v>3095834.32147134</v>
      </c>
      <c r="I41" s="48" t="n"/>
      <c r="J41" s="68" t="n"/>
      <c r="K41" s="41" t="n"/>
      <c r="L41" s="41" t="n"/>
      <c r="M41" s="41" t="n"/>
      <c r="N41" s="41" t="n"/>
      <c r="O41" s="68" t="n"/>
      <c r="P41" s="48" t="n"/>
      <c r="Q41" s="70">
        <f>J41-C41</f>
        <v/>
      </c>
      <c r="R41" s="70">
        <f>K41-D41</f>
        <v/>
      </c>
      <c r="S41" s="70">
        <f>L41-E41</f>
        <v/>
      </c>
      <c r="T41" s="70">
        <f>M41-F41</f>
        <v/>
      </c>
      <c r="U41" s="70">
        <f>N41-G41</f>
        <v/>
      </c>
      <c r="V41" s="70">
        <f>O41-H41</f>
        <v/>
      </c>
      <c r="W41" s="48" t="n"/>
      <c r="X41" s="42">
        <f>IFERROR(J41/C41,0)</f>
        <v/>
      </c>
      <c r="Y41" s="42">
        <f>IFERROR(K41/D41,0)</f>
        <v/>
      </c>
      <c r="Z41" s="42">
        <f>IFERROR(L41/E41,0)</f>
        <v/>
      </c>
      <c r="AA41" s="42">
        <f>IFERROR(M41/F41,0)</f>
        <v/>
      </c>
      <c r="AB41" s="42">
        <f>IFERROR(N41/G41,0)</f>
        <v/>
      </c>
      <c r="AC41" s="42">
        <f>IFERROR(O41/H41,0)</f>
        <v/>
      </c>
    </row>
    <row r="42" outlineLevel="2" ht="14.9" customHeight="1" s="39">
      <c r="A42" s="74" t="n"/>
      <c r="B42" s="40" t="inlineStr">
        <is>
          <t>Jul</t>
        </is>
      </c>
      <c r="C42" s="68" t="n">
        <v>302.3</v>
      </c>
      <c r="D42" s="41" t="n">
        <v>1891.3516</v>
      </c>
      <c r="E42" s="41" t="n">
        <v>1649.4477</v>
      </c>
      <c r="F42" s="41" t="n">
        <v>16.0287</v>
      </c>
      <c r="G42" s="41" t="n">
        <v>832.0039</v>
      </c>
      <c r="H42" s="68" t="n">
        <v>4460779.75260907</v>
      </c>
      <c r="I42" s="48" t="n"/>
      <c r="J42" s="68" t="n"/>
      <c r="K42" s="41" t="n"/>
      <c r="L42" s="41" t="n"/>
      <c r="M42" s="41" t="n"/>
      <c r="N42" s="41" t="n"/>
      <c r="O42" s="68" t="n"/>
      <c r="P42" s="48" t="n"/>
      <c r="Q42" s="70">
        <f>J42-C42</f>
        <v/>
      </c>
      <c r="R42" s="70">
        <f>K42-D42</f>
        <v/>
      </c>
      <c r="S42" s="70">
        <f>L42-E42</f>
        <v/>
      </c>
      <c r="T42" s="70">
        <f>M42-F42</f>
        <v/>
      </c>
      <c r="U42" s="70">
        <f>N42-G42</f>
        <v/>
      </c>
      <c r="V42" s="70">
        <f>O42-H42</f>
        <v/>
      </c>
      <c r="W42" s="48" t="n"/>
      <c r="X42" s="42">
        <f>IFERROR(J42/C42,0)</f>
        <v/>
      </c>
      <c r="Y42" s="42">
        <f>IFERROR(K42/D42,0)</f>
        <v/>
      </c>
      <c r="Z42" s="42">
        <f>IFERROR(L42/E42,0)</f>
        <v/>
      </c>
      <c r="AA42" s="42">
        <f>IFERROR(M42/F42,0)</f>
        <v/>
      </c>
      <c r="AB42" s="42">
        <f>IFERROR(N42/G42,0)</f>
        <v/>
      </c>
      <c r="AC42" s="42">
        <f>IFERROR(O42/H42,0)</f>
        <v/>
      </c>
    </row>
    <row r="43" outlineLevel="2" ht="14.9" customHeight="1" s="39">
      <c r="A43" s="74" t="n"/>
      <c r="B43" s="40" t="inlineStr">
        <is>
          <t>Aug</t>
        </is>
      </c>
      <c r="C43" s="68" t="n">
        <v>89.5</v>
      </c>
      <c r="D43" s="41" t="n">
        <v>563.1942</v>
      </c>
      <c r="E43" s="41" t="n">
        <v>354.734</v>
      </c>
      <c r="F43" s="41" t="n">
        <v>25.526</v>
      </c>
      <c r="G43" s="41" t="n">
        <v>799.4596</v>
      </c>
      <c r="H43" s="68" t="n">
        <v>5398325.4641574</v>
      </c>
      <c r="I43" s="48" t="n"/>
      <c r="J43" s="68" t="n"/>
      <c r="K43" s="41" t="n"/>
      <c r="L43" s="41" t="n"/>
      <c r="M43" s="41" t="n"/>
      <c r="N43" s="41" t="n"/>
      <c r="O43" s="68" t="n"/>
      <c r="P43" s="48" t="n"/>
      <c r="Q43" s="70">
        <f>J43-C43</f>
        <v/>
      </c>
      <c r="R43" s="70">
        <f>K43-D43</f>
        <v/>
      </c>
      <c r="S43" s="70">
        <f>L43-E43</f>
        <v/>
      </c>
      <c r="T43" s="70">
        <f>M43-F43</f>
        <v/>
      </c>
      <c r="U43" s="70">
        <f>N43-G43</f>
        <v/>
      </c>
      <c r="V43" s="70">
        <f>O43-H43</f>
        <v/>
      </c>
      <c r="W43" s="48" t="n"/>
      <c r="X43" s="42">
        <f>IFERROR(J43/C43,0)</f>
        <v/>
      </c>
      <c r="Y43" s="42">
        <f>IFERROR(K43/D43,0)</f>
        <v/>
      </c>
      <c r="Z43" s="42">
        <f>IFERROR(L43/E43,0)</f>
        <v/>
      </c>
      <c r="AA43" s="42">
        <f>IFERROR(M43/F43,0)</f>
        <v/>
      </c>
      <c r="AB43" s="42">
        <f>IFERROR(N43/G43,0)</f>
        <v/>
      </c>
      <c r="AC43" s="42">
        <f>IFERROR(O43/H43,0)</f>
        <v/>
      </c>
    </row>
    <row r="44" outlineLevel="2" ht="14.9" customHeight="1" s="39">
      <c r="A44" s="74" t="n"/>
      <c r="B44" s="40" t="inlineStr">
        <is>
          <t>Sep</t>
        </is>
      </c>
      <c r="C44" s="68" t="n">
        <v>33.8</v>
      </c>
      <c r="D44" s="41" t="n">
        <v>227.118</v>
      </c>
      <c r="E44" s="41" t="n">
        <v>170.8215</v>
      </c>
      <c r="F44" s="41" t="n">
        <v>7.7194</v>
      </c>
      <c r="G44" s="41" t="n">
        <v>96.6897</v>
      </c>
      <c r="H44" s="68" t="n">
        <v>1868075.73652695</v>
      </c>
      <c r="I44" s="48" t="n"/>
      <c r="J44" s="68" t="n"/>
      <c r="K44" s="41" t="n"/>
      <c r="L44" s="41" t="n"/>
      <c r="M44" s="41" t="n"/>
      <c r="N44" s="41" t="n"/>
      <c r="O44" s="68" t="n"/>
      <c r="P44" s="48" t="n"/>
      <c r="Q44" s="70">
        <f>J44-C44</f>
        <v/>
      </c>
      <c r="R44" s="70">
        <f>K44-D44</f>
        <v/>
      </c>
      <c r="S44" s="70">
        <f>L44-E44</f>
        <v/>
      </c>
      <c r="T44" s="70">
        <f>M44-F44</f>
        <v/>
      </c>
      <c r="U44" s="70">
        <f>N44-G44</f>
        <v/>
      </c>
      <c r="V44" s="70">
        <f>O44-H44</f>
        <v/>
      </c>
      <c r="W44" s="48" t="n"/>
      <c r="X44" s="42">
        <f>IFERROR(J44/C44,0)</f>
        <v/>
      </c>
      <c r="Y44" s="42">
        <f>IFERROR(K44/D44,0)</f>
        <v/>
      </c>
      <c r="Z44" s="42">
        <f>IFERROR(L44/E44,0)</f>
        <v/>
      </c>
      <c r="AA44" s="42">
        <f>IFERROR(M44/F44,0)</f>
        <v/>
      </c>
      <c r="AB44" s="42">
        <f>IFERROR(N44/G44,0)</f>
        <v/>
      </c>
      <c r="AC44" s="42">
        <f>IFERROR(O44/H44,0)</f>
        <v/>
      </c>
    </row>
    <row r="45" outlineLevel="2" ht="14.9" customHeight="1" s="39">
      <c r="A45" s="74" t="n"/>
      <c r="B45" s="40" t="inlineStr">
        <is>
          <t>Oct</t>
        </is>
      </c>
      <c r="C45" s="68" t="n">
        <v>385.1</v>
      </c>
      <c r="D45" s="41" t="n">
        <v>2266.617</v>
      </c>
      <c r="E45" s="41" t="n">
        <v>2082.7205</v>
      </c>
      <c r="F45" s="41" t="n">
        <v>31.7211</v>
      </c>
      <c r="G45" s="41" t="n">
        <v>742.4452</v>
      </c>
      <c r="H45" s="68" t="n">
        <v>6663119.41163388</v>
      </c>
      <c r="I45" s="48" t="n"/>
      <c r="J45" s="68" t="n"/>
      <c r="K45" s="41" t="n"/>
      <c r="L45" s="41" t="n"/>
      <c r="M45" s="41" t="n"/>
      <c r="N45" s="41" t="n"/>
      <c r="O45" s="68" t="n"/>
      <c r="P45" s="48" t="n"/>
      <c r="Q45" s="70">
        <f>J45-C45</f>
        <v/>
      </c>
      <c r="R45" s="70">
        <f>K45-D45</f>
        <v/>
      </c>
      <c r="S45" s="70">
        <f>L45-E45</f>
        <v/>
      </c>
      <c r="T45" s="70">
        <f>M45-F45</f>
        <v/>
      </c>
      <c r="U45" s="70">
        <f>N45-G45</f>
        <v/>
      </c>
      <c r="V45" s="70">
        <f>O45-H45</f>
        <v/>
      </c>
      <c r="W45" s="48" t="n"/>
      <c r="X45" s="42">
        <f>IFERROR(J45/C45,0)</f>
        <v/>
      </c>
      <c r="Y45" s="42">
        <f>IFERROR(K45/D45,0)</f>
        <v/>
      </c>
      <c r="Z45" s="42">
        <f>IFERROR(L45/E45,0)</f>
        <v/>
      </c>
      <c r="AA45" s="42">
        <f>IFERROR(M45/F45,0)</f>
        <v/>
      </c>
      <c r="AB45" s="42">
        <f>IFERROR(N45/G45,0)</f>
        <v/>
      </c>
      <c r="AC45" s="42">
        <f>IFERROR(O45/H45,0)</f>
        <v/>
      </c>
    </row>
    <row r="46" outlineLevel="2" ht="14.9" customHeight="1" s="39">
      <c r="A46" s="74" t="n"/>
      <c r="B46" s="40" t="inlineStr">
        <is>
          <t>Nov</t>
        </is>
      </c>
      <c r="C46" s="68" t="n">
        <v>154.3</v>
      </c>
      <c r="D46" s="41" t="n">
        <v>2210.995</v>
      </c>
      <c r="E46" s="41" t="n">
        <v>2179.6113</v>
      </c>
      <c r="F46" s="41" t="n">
        <v>6.2475</v>
      </c>
      <c r="G46" s="41" t="n">
        <v>72.738</v>
      </c>
      <c r="H46" s="68" t="n">
        <v>2224800.86843456</v>
      </c>
      <c r="I46" s="48" t="n"/>
      <c r="J46" s="68" t="n"/>
      <c r="K46" s="41" t="n"/>
      <c r="L46" s="41" t="n"/>
      <c r="M46" s="41" t="n"/>
      <c r="N46" s="41" t="n"/>
      <c r="O46" s="68" t="n"/>
      <c r="P46" s="48" t="n"/>
      <c r="Q46" s="70">
        <f>J46-C46</f>
        <v/>
      </c>
      <c r="R46" s="70">
        <f>K46-D46</f>
        <v/>
      </c>
      <c r="S46" s="70">
        <f>L46-E46</f>
        <v/>
      </c>
      <c r="T46" s="70">
        <f>M46-F46</f>
        <v/>
      </c>
      <c r="U46" s="70">
        <f>N46-G46</f>
        <v/>
      </c>
      <c r="V46" s="70">
        <f>O46-H46</f>
        <v/>
      </c>
      <c r="W46" s="48" t="n"/>
      <c r="X46" s="42">
        <f>IFERROR(J46/C46,0)</f>
        <v/>
      </c>
      <c r="Y46" s="42">
        <f>IFERROR(K46/D46,0)</f>
        <v/>
      </c>
      <c r="Z46" s="42">
        <f>IFERROR(L46/E46,0)</f>
        <v/>
      </c>
      <c r="AA46" s="42">
        <f>IFERROR(M46/F46,0)</f>
        <v/>
      </c>
      <c r="AB46" s="42">
        <f>IFERROR(N46/G46,0)</f>
        <v/>
      </c>
      <c r="AC46" s="42">
        <f>IFERROR(O46/H46,0)</f>
        <v/>
      </c>
    </row>
    <row r="47" outlineLevel="2" ht="14.9" customHeight="1" s="39">
      <c r="A47" s="74" t="n"/>
      <c r="B47" s="40" t="inlineStr">
        <is>
          <t>Dec</t>
        </is>
      </c>
      <c r="C47" s="68" t="n">
        <v>614.4</v>
      </c>
      <c r="D47" s="41" t="n">
        <v>8862.646000000001</v>
      </c>
      <c r="E47" s="41" t="n">
        <v>8019.3433</v>
      </c>
      <c r="F47" s="41" t="n">
        <v>7.278</v>
      </c>
      <c r="G47" s="41" t="n">
        <v>4008.6819</v>
      </c>
      <c r="H47" s="68" t="n">
        <v>4926125.16133447</v>
      </c>
      <c r="I47" s="48" t="n"/>
      <c r="J47" s="68" t="n"/>
      <c r="K47" s="41" t="n"/>
      <c r="L47" s="41" t="n"/>
      <c r="M47" s="41" t="n"/>
      <c r="N47" s="41" t="n"/>
      <c r="O47" s="68" t="n"/>
      <c r="P47" s="48" t="n"/>
      <c r="Q47" s="70">
        <f>J47-C47</f>
        <v/>
      </c>
      <c r="R47" s="70">
        <f>K47-D47</f>
        <v/>
      </c>
      <c r="S47" s="70">
        <f>L47-E47</f>
        <v/>
      </c>
      <c r="T47" s="70">
        <f>M47-F47</f>
        <v/>
      </c>
      <c r="U47" s="70">
        <f>N47-G47</f>
        <v/>
      </c>
      <c r="V47" s="70">
        <f>O47-H47</f>
        <v/>
      </c>
      <c r="W47" s="48" t="n"/>
      <c r="X47" s="42">
        <f>IFERROR(J47/C47,0)</f>
        <v/>
      </c>
      <c r="Y47" s="42">
        <f>IFERROR(K47/D47,0)</f>
        <v/>
      </c>
      <c r="Z47" s="42">
        <f>IFERROR(L47/E47,0)</f>
        <v/>
      </c>
      <c r="AA47" s="42">
        <f>IFERROR(M47/F47,0)</f>
        <v/>
      </c>
      <c r="AB47" s="42">
        <f>IFERROR(N47/G47,0)</f>
        <v/>
      </c>
      <c r="AC47" s="42">
        <f>IFERROR(O47/H47,0)</f>
        <v/>
      </c>
    </row>
    <row r="48" outlineLevel="2" ht="13.8" customHeight="1" s="39">
      <c r="A48" s="75" t="n"/>
      <c r="B48" s="59" t="inlineStr">
        <is>
          <t>Grand Total</t>
        </is>
      </c>
      <c r="C48" s="71">
        <f>SUM(C36:C47)</f>
        <v/>
      </c>
      <c r="D48" s="71">
        <f>SUM(D36:D47)</f>
        <v/>
      </c>
      <c r="E48" s="71">
        <f>SUM(E36:E47)</f>
        <v/>
      </c>
      <c r="F48" s="71">
        <f>SUM(F36:F47)</f>
        <v/>
      </c>
      <c r="G48" s="71">
        <f>SUM(G36:G47)</f>
        <v/>
      </c>
      <c r="H48" s="71">
        <f>SUM(H36:H47)</f>
        <v/>
      </c>
      <c r="I48" s="48" t="n"/>
      <c r="J48" s="71">
        <f>SUM(J36:J47)</f>
        <v/>
      </c>
      <c r="K48" s="71">
        <f>SUM(K36:K47)</f>
        <v/>
      </c>
      <c r="L48" s="71">
        <f>SUM(L36:L47)</f>
        <v/>
      </c>
      <c r="M48" s="71">
        <f>SUM(M36:M47)</f>
        <v/>
      </c>
      <c r="N48" s="71">
        <f>SUM(N36:N47)</f>
        <v/>
      </c>
      <c r="O48" s="71">
        <f>SUM(O36:O47)</f>
        <v/>
      </c>
      <c r="P48" s="48" t="n"/>
      <c r="Q48" s="71">
        <f>SUM(Q36:Q47)</f>
        <v/>
      </c>
      <c r="R48" s="71">
        <f>SUM(R36:R47)</f>
        <v/>
      </c>
      <c r="S48" s="71">
        <f>SUM(S36:S47)</f>
        <v/>
      </c>
      <c r="T48" s="71">
        <f>SUM(T36:T47)</f>
        <v/>
      </c>
      <c r="U48" s="71">
        <f>SUM(U36:U47)</f>
        <v/>
      </c>
      <c r="V48" s="71">
        <f>SUM(V36:V47)</f>
        <v/>
      </c>
      <c r="W48" s="48" t="n"/>
      <c r="X48" s="61">
        <f>IFERROR(J48/C48,0)</f>
        <v/>
      </c>
      <c r="Y48" s="61">
        <f>IFERROR(K48/D48,0)</f>
        <v/>
      </c>
      <c r="Z48" s="61">
        <f>IFERROR(L48/E48,0)</f>
        <v/>
      </c>
      <c r="AA48" s="61">
        <f>IFERROR(M48/F48,0)</f>
        <v/>
      </c>
      <c r="AB48" s="61">
        <f>IFERROR(N48/G48,0)</f>
        <v/>
      </c>
      <c r="AC48" s="61">
        <f>IFERROR(O48/H48,0)</f>
        <v/>
      </c>
    </row>
    <row r="49" outlineLevel="1" ht="13.8" customHeight="1" s="39"/>
    <row r="50" outlineLevel="2" ht="13.8" customHeight="1" s="39">
      <c r="A50" s="73" t="inlineStr">
        <is>
          <t>B2C</t>
        </is>
      </c>
      <c r="B50" s="59" t="inlineStr">
        <is>
          <t>IN Lacs.</t>
        </is>
      </c>
      <c r="C50" s="67" t="inlineStr">
        <is>
          <t>Budgeted</t>
        </is>
      </c>
      <c r="D50" s="46" t="n"/>
      <c r="E50" s="46" t="n"/>
      <c r="F50" s="46" t="n"/>
      <c r="G50" s="46" t="n"/>
      <c r="H50" s="47" t="n"/>
      <c r="I50" s="48" t="n"/>
      <c r="J50" s="67" t="inlineStr">
        <is>
          <t>Actual</t>
        </is>
      </c>
      <c r="K50" s="46" t="n"/>
      <c r="L50" s="46" t="n"/>
      <c r="M50" s="46" t="n"/>
      <c r="N50" s="46" t="n"/>
      <c r="O50" s="47" t="n"/>
      <c r="P50" s="48" t="n"/>
      <c r="Q50" s="67" t="inlineStr">
        <is>
          <t>Variance</t>
        </is>
      </c>
      <c r="R50" s="46" t="n"/>
      <c r="S50" s="46" t="n"/>
      <c r="T50" s="46" t="n"/>
      <c r="U50" s="46" t="n"/>
      <c r="V50" s="47" t="n"/>
      <c r="W50" s="48" t="n"/>
      <c r="X50" s="67" t="inlineStr">
        <is>
          <t>Achivement %</t>
        </is>
      </c>
      <c r="Y50" s="46" t="n"/>
      <c r="Z50" s="46" t="n"/>
      <c r="AA50" s="46" t="n"/>
      <c r="AB50" s="46" t="n"/>
      <c r="AC50" s="47" t="n"/>
    </row>
    <row r="51" outlineLevel="2" ht="13.8" customHeight="1" s="39">
      <c r="A51" s="74" t="n"/>
      <c r="B51" s="59" t="inlineStr">
        <is>
          <t>Row Labels</t>
        </is>
      </c>
      <c r="C51" s="59" t="inlineStr">
        <is>
          <t>Qty</t>
        </is>
      </c>
      <c r="D51" s="59" t="inlineStr">
        <is>
          <t xml:space="preserve"> Gross Wt.</t>
        </is>
      </c>
      <c r="E51" s="59" t="inlineStr">
        <is>
          <t>Net Wt.</t>
        </is>
      </c>
      <c r="F51" s="59" t="inlineStr">
        <is>
          <t xml:space="preserve"> Dia Wt.</t>
        </is>
      </c>
      <c r="G51" s="59" t="inlineStr">
        <is>
          <t xml:space="preserve"> CLS Wt.</t>
        </is>
      </c>
      <c r="H51" s="59" t="inlineStr">
        <is>
          <t xml:space="preserve"> Value</t>
        </is>
      </c>
      <c r="I51" s="48" t="n"/>
      <c r="J51" s="59" t="inlineStr">
        <is>
          <t>Qty</t>
        </is>
      </c>
      <c r="K51" s="59" t="inlineStr">
        <is>
          <t xml:space="preserve"> Gross Wt.</t>
        </is>
      </c>
      <c r="L51" s="59" t="inlineStr">
        <is>
          <t>Net Wt.</t>
        </is>
      </c>
      <c r="M51" s="59" t="inlineStr">
        <is>
          <t xml:space="preserve"> Dia Wt.</t>
        </is>
      </c>
      <c r="N51" s="59" t="inlineStr">
        <is>
          <t xml:space="preserve"> CLS Wt.</t>
        </is>
      </c>
      <c r="O51" s="59" t="inlineStr">
        <is>
          <t xml:space="preserve"> Value</t>
        </is>
      </c>
      <c r="P51" s="48" t="n"/>
      <c r="Q51" s="59" t="inlineStr">
        <is>
          <t>Qty</t>
        </is>
      </c>
      <c r="R51" s="59" t="inlineStr">
        <is>
          <t xml:space="preserve"> Gross Wt.</t>
        </is>
      </c>
      <c r="S51" s="59" t="inlineStr">
        <is>
          <t>Net Wt.</t>
        </is>
      </c>
      <c r="T51" s="59" t="inlineStr">
        <is>
          <t xml:space="preserve"> Dia Wt.</t>
        </is>
      </c>
      <c r="U51" s="59" t="inlineStr">
        <is>
          <t xml:space="preserve"> CLS Wt.</t>
        </is>
      </c>
      <c r="V51" s="59" t="inlineStr">
        <is>
          <t xml:space="preserve"> Value</t>
        </is>
      </c>
      <c r="W51" s="48" t="n"/>
      <c r="X51" s="59" t="inlineStr">
        <is>
          <t>Qty</t>
        </is>
      </c>
      <c r="Y51" s="59" t="inlineStr">
        <is>
          <t xml:space="preserve"> Gross Wt.</t>
        </is>
      </c>
      <c r="Z51" s="59" t="inlineStr">
        <is>
          <t>Net Wt.</t>
        </is>
      </c>
      <c r="AA51" s="59" t="inlineStr">
        <is>
          <t xml:space="preserve"> Dia Wt.</t>
        </is>
      </c>
      <c r="AB51" s="59" t="inlineStr">
        <is>
          <t xml:space="preserve"> CLS Wt.</t>
        </is>
      </c>
      <c r="AC51" s="59" t="inlineStr">
        <is>
          <t xml:space="preserve"> Value</t>
        </is>
      </c>
    </row>
    <row r="52" outlineLevel="2" ht="14.9" customHeight="1" s="39">
      <c r="A52" s="74" t="n"/>
      <c r="B52" s="40" t="inlineStr">
        <is>
          <t>Jan</t>
        </is>
      </c>
      <c r="C52" s="68" t="n">
        <v>250.2</v>
      </c>
      <c r="D52" s="41" t="n">
        <v>968.8146</v>
      </c>
      <c r="E52" s="41" t="n">
        <v>851.6083</v>
      </c>
      <c r="F52" s="41" t="n">
        <v>20.5789</v>
      </c>
      <c r="G52" s="41" t="n">
        <v>519.5164</v>
      </c>
      <c r="H52" s="68" t="n">
        <v>6226103.39727891</v>
      </c>
      <c r="I52" s="48" t="n"/>
      <c r="J52" s="69" t="n">
        <v>173</v>
      </c>
      <c r="K52" s="69" t="n">
        <v>3208.25</v>
      </c>
      <c r="L52" s="69" t="n">
        <v>3125.509</v>
      </c>
      <c r="M52" s="69" t="n">
        <v>2.275</v>
      </c>
      <c r="N52" s="69" t="n">
        <v>320.28</v>
      </c>
      <c r="O52" s="69" t="n">
        <v>1261492.98</v>
      </c>
      <c r="P52" s="48" t="n"/>
      <c r="Q52" s="70">
        <f>J52-C52</f>
        <v/>
      </c>
      <c r="R52" s="70">
        <f>K52-D52</f>
        <v/>
      </c>
      <c r="S52" s="70">
        <f>L52-E52</f>
        <v/>
      </c>
      <c r="T52" s="70">
        <f>M52-F52</f>
        <v/>
      </c>
      <c r="U52" s="70">
        <f>N52-G52</f>
        <v/>
      </c>
      <c r="V52" s="70">
        <f>O52-H52</f>
        <v/>
      </c>
      <c r="W52" s="48" t="n"/>
      <c r="X52" s="42">
        <f>IFERROR(J52/C52,0)</f>
        <v/>
      </c>
      <c r="Y52" s="42">
        <f>IFERROR(K52/D52,0)</f>
        <v/>
      </c>
      <c r="Z52" s="42">
        <f>IFERROR(L52/E52,0)</f>
        <v/>
      </c>
      <c r="AA52" s="42">
        <f>IFERROR(M52/F52,0)</f>
        <v/>
      </c>
      <c r="AB52" s="42">
        <f>IFERROR(N52/G52,0)</f>
        <v/>
      </c>
      <c r="AC52" s="42">
        <f>IFERROR(O52/H52,0)</f>
        <v/>
      </c>
    </row>
    <row r="53" outlineLevel="2" ht="14.9" customHeight="1" s="39">
      <c r="A53" s="74" t="n"/>
      <c r="B53" s="40" t="inlineStr">
        <is>
          <t>Feb</t>
        </is>
      </c>
      <c r="C53" s="68" t="n">
        <v>62.6</v>
      </c>
      <c r="D53" s="41" t="n">
        <v>292.7139</v>
      </c>
      <c r="E53" s="41" t="n">
        <v>256.8916</v>
      </c>
      <c r="F53" s="41" t="n">
        <v>17.6939</v>
      </c>
      <c r="G53" s="41" t="n">
        <v>121.9954</v>
      </c>
      <c r="H53" s="68" t="n">
        <v>2485022.76734694</v>
      </c>
      <c r="I53" s="48" t="n"/>
      <c r="J53" s="69" t="n">
        <v>228</v>
      </c>
      <c r="K53" s="69" t="n">
        <v>1128.758</v>
      </c>
      <c r="L53" s="69" t="n">
        <v>802.963</v>
      </c>
      <c r="M53" s="69" t="n">
        <v>35.958</v>
      </c>
      <c r="N53" s="69" t="n">
        <v>2160.163</v>
      </c>
      <c r="O53" s="69" t="n">
        <v>5998190.73</v>
      </c>
      <c r="P53" s="48" t="n"/>
      <c r="Q53" s="70">
        <f>J53-C53</f>
        <v/>
      </c>
      <c r="R53" s="70">
        <f>K53-D53</f>
        <v/>
      </c>
      <c r="S53" s="70">
        <f>L53-E53</f>
        <v/>
      </c>
      <c r="T53" s="70">
        <f>M53-F53</f>
        <v/>
      </c>
      <c r="U53" s="70">
        <f>N53-G53</f>
        <v/>
      </c>
      <c r="V53" s="70">
        <f>O53-H53</f>
        <v/>
      </c>
      <c r="W53" s="48" t="n"/>
      <c r="X53" s="42">
        <f>IFERROR(J53/C53,0)</f>
        <v/>
      </c>
      <c r="Y53" s="42">
        <f>IFERROR(K53/D53,0)</f>
        <v/>
      </c>
      <c r="Z53" s="42">
        <f>IFERROR(L53/E53,0)</f>
        <v/>
      </c>
      <c r="AA53" s="42">
        <f>IFERROR(M53/F53,0)</f>
        <v/>
      </c>
      <c r="AB53" s="42">
        <f>IFERROR(N53/G53,0)</f>
        <v/>
      </c>
      <c r="AC53" s="42">
        <f>IFERROR(O53/H53,0)</f>
        <v/>
      </c>
    </row>
    <row r="54" outlineLevel="2" ht="14.9" customHeight="1" s="39">
      <c r="A54" s="74" t="n"/>
      <c r="B54" s="40" t="inlineStr">
        <is>
          <t>Mar</t>
        </is>
      </c>
      <c r="C54" s="68" t="n">
        <v>210.7</v>
      </c>
      <c r="D54" s="41" t="n">
        <v>1123.3923</v>
      </c>
      <c r="E54" s="41" t="n">
        <v>782.6224</v>
      </c>
      <c r="F54" s="41" t="n">
        <v>21.3384</v>
      </c>
      <c r="G54" s="41" t="n">
        <v>1263.3352</v>
      </c>
      <c r="H54" s="68" t="n">
        <v>2998435.04353741</v>
      </c>
      <c r="I54" s="48" t="n"/>
      <c r="J54" s="68" t="n"/>
      <c r="K54" s="41" t="n"/>
      <c r="L54" s="41" t="n"/>
      <c r="M54" s="41" t="n"/>
      <c r="N54" s="41" t="n"/>
      <c r="O54" s="68" t="n"/>
      <c r="P54" s="48" t="n"/>
      <c r="Q54" s="70">
        <f>J54-C54</f>
        <v/>
      </c>
      <c r="R54" s="70">
        <f>K54-D54</f>
        <v/>
      </c>
      <c r="S54" s="70">
        <f>L54-E54</f>
        <v/>
      </c>
      <c r="T54" s="70">
        <f>M54-F54</f>
        <v/>
      </c>
      <c r="U54" s="70">
        <f>N54-G54</f>
        <v/>
      </c>
      <c r="V54" s="70">
        <f>O54-H54</f>
        <v/>
      </c>
      <c r="W54" s="48" t="n"/>
      <c r="X54" s="42">
        <f>IFERROR(J54/C54,0)</f>
        <v/>
      </c>
      <c r="Y54" s="42">
        <f>IFERROR(K54/D54,0)</f>
        <v/>
      </c>
      <c r="Z54" s="42">
        <f>IFERROR(L54/E54,0)</f>
        <v/>
      </c>
      <c r="AA54" s="42">
        <f>IFERROR(M54/F54,0)</f>
        <v/>
      </c>
      <c r="AB54" s="42">
        <f>IFERROR(N54/G54,0)</f>
        <v/>
      </c>
      <c r="AC54" s="42">
        <f>IFERROR(O54/H54,0)</f>
        <v/>
      </c>
    </row>
    <row r="55" outlineLevel="2" ht="14.9" customHeight="1" s="39">
      <c r="A55" s="74" t="n"/>
      <c r="B55" s="40" t="inlineStr">
        <is>
          <t>Apr</t>
        </is>
      </c>
      <c r="C55" s="68" t="n">
        <v>29.6</v>
      </c>
      <c r="D55" s="41" t="n">
        <v>173.1432</v>
      </c>
      <c r="E55" s="41" t="n">
        <v>159.4405</v>
      </c>
      <c r="F55" s="41" t="n">
        <v>13.4069</v>
      </c>
      <c r="G55" s="41" t="n">
        <v>49.559</v>
      </c>
      <c r="H55" s="68" t="n">
        <v>2064193.98639456</v>
      </c>
      <c r="I55" s="48" t="n"/>
      <c r="J55" s="68" t="n"/>
      <c r="K55" s="41" t="n"/>
      <c r="L55" s="41" t="n"/>
      <c r="M55" s="41" t="n"/>
      <c r="N55" s="41" t="n"/>
      <c r="O55" s="68" t="n"/>
      <c r="P55" s="48" t="n"/>
      <c r="Q55" s="70">
        <f>J55-C55</f>
        <v/>
      </c>
      <c r="R55" s="70">
        <f>K55-D55</f>
        <v/>
      </c>
      <c r="S55" s="70">
        <f>L55-E55</f>
        <v/>
      </c>
      <c r="T55" s="70">
        <f>M55-F55</f>
        <v/>
      </c>
      <c r="U55" s="70">
        <f>N55-G55</f>
        <v/>
      </c>
      <c r="V55" s="70">
        <f>O55-H55</f>
        <v/>
      </c>
      <c r="W55" s="48" t="n"/>
      <c r="X55" s="42">
        <f>IFERROR(J55/C55,0)</f>
        <v/>
      </c>
      <c r="Y55" s="42">
        <f>IFERROR(K55/D55,0)</f>
        <v/>
      </c>
      <c r="Z55" s="42">
        <f>IFERROR(L55/E55,0)</f>
        <v/>
      </c>
      <c r="AA55" s="42">
        <f>IFERROR(M55/F55,0)</f>
        <v/>
      </c>
      <c r="AB55" s="42">
        <f>IFERROR(N55/G55,0)</f>
        <v/>
      </c>
      <c r="AC55" s="42">
        <f>IFERROR(O55/H55,0)</f>
        <v/>
      </c>
    </row>
    <row r="56" outlineLevel="2" ht="14.9" customHeight="1" s="39">
      <c r="A56" s="74" t="n"/>
      <c r="B56" s="40" t="inlineStr">
        <is>
          <t>May</t>
        </is>
      </c>
      <c r="C56" s="68" t="n">
        <v>42.9</v>
      </c>
      <c r="D56" s="41" t="n">
        <v>410.3911</v>
      </c>
      <c r="E56" s="41" t="n">
        <v>395.0565</v>
      </c>
      <c r="F56" s="41" t="n">
        <v>7.573</v>
      </c>
      <c r="G56" s="41" t="n">
        <v>57.835</v>
      </c>
      <c r="H56" s="68" t="n">
        <v>2449650.61768708</v>
      </c>
      <c r="I56" s="48" t="n"/>
      <c r="J56" s="68" t="n"/>
      <c r="K56" s="41" t="n"/>
      <c r="L56" s="41" t="n"/>
      <c r="M56" s="41" t="n"/>
      <c r="N56" s="41" t="n"/>
      <c r="O56" s="68" t="n"/>
      <c r="P56" s="48" t="n"/>
      <c r="Q56" s="70">
        <f>J56-C56</f>
        <v/>
      </c>
      <c r="R56" s="70">
        <f>K56-D56</f>
        <v/>
      </c>
      <c r="S56" s="70">
        <f>L56-E56</f>
        <v/>
      </c>
      <c r="T56" s="70">
        <f>M56-F56</f>
        <v/>
      </c>
      <c r="U56" s="70">
        <f>N56-G56</f>
        <v/>
      </c>
      <c r="V56" s="70">
        <f>O56-H56</f>
        <v/>
      </c>
      <c r="W56" s="48" t="n"/>
      <c r="X56" s="42">
        <f>IFERROR(J56/C56,0)</f>
        <v/>
      </c>
      <c r="Y56" s="42">
        <f>IFERROR(K56/D56,0)</f>
        <v/>
      </c>
      <c r="Z56" s="42">
        <f>IFERROR(L56/E56,0)</f>
        <v/>
      </c>
      <c r="AA56" s="42">
        <f>IFERROR(M56/F56,0)</f>
        <v/>
      </c>
      <c r="AB56" s="42">
        <f>IFERROR(N56/G56,0)</f>
        <v/>
      </c>
      <c r="AC56" s="42">
        <f>IFERROR(O56/H56,0)</f>
        <v/>
      </c>
    </row>
    <row r="57" outlineLevel="2" ht="14.9" customHeight="1" s="39">
      <c r="A57" s="74" t="n"/>
      <c r="B57" s="40" t="inlineStr">
        <is>
          <t>Jun</t>
        </is>
      </c>
      <c r="C57" s="68" t="n">
        <v>82.5</v>
      </c>
      <c r="D57" s="41" t="n">
        <v>552.0069999999999</v>
      </c>
      <c r="E57" s="41" t="n">
        <v>464.8268</v>
      </c>
      <c r="F57" s="41" t="n">
        <v>27.9371</v>
      </c>
      <c r="G57" s="41" t="n">
        <v>373.8303</v>
      </c>
      <c r="H57" s="68" t="n">
        <v>3521841.96054422</v>
      </c>
      <c r="I57" s="48" t="n"/>
      <c r="J57" s="68" t="n"/>
      <c r="K57" s="41" t="n"/>
      <c r="L57" s="41" t="n"/>
      <c r="M57" s="41" t="n"/>
      <c r="N57" s="41" t="n"/>
      <c r="O57" s="68" t="n"/>
      <c r="P57" s="48" t="n"/>
      <c r="Q57" s="70">
        <f>J57-C57</f>
        <v/>
      </c>
      <c r="R57" s="70">
        <f>K57-D57</f>
        <v/>
      </c>
      <c r="S57" s="70">
        <f>L57-E57</f>
        <v/>
      </c>
      <c r="T57" s="70">
        <f>M57-F57</f>
        <v/>
      </c>
      <c r="U57" s="70">
        <f>N57-G57</f>
        <v/>
      </c>
      <c r="V57" s="70">
        <f>O57-H57</f>
        <v/>
      </c>
      <c r="W57" s="48" t="n"/>
      <c r="X57" s="42">
        <f>IFERROR(J57/C57,0)</f>
        <v/>
      </c>
      <c r="Y57" s="42">
        <f>IFERROR(K57/D57,0)</f>
        <v/>
      </c>
      <c r="Z57" s="42">
        <f>IFERROR(L57/E57,0)</f>
        <v/>
      </c>
      <c r="AA57" s="42">
        <f>IFERROR(M57/F57,0)</f>
        <v/>
      </c>
      <c r="AB57" s="42">
        <f>IFERROR(N57/G57,0)</f>
        <v/>
      </c>
      <c r="AC57" s="42">
        <f>IFERROR(O57/H57,0)</f>
        <v/>
      </c>
    </row>
    <row r="58" outlineLevel="2" ht="14.9" customHeight="1" s="39">
      <c r="A58" s="74" t="n"/>
      <c r="B58" s="40" t="inlineStr">
        <is>
          <t>Jul</t>
        </is>
      </c>
      <c r="C58" s="68" t="n">
        <v>66.90000000000001</v>
      </c>
      <c r="D58" s="41" t="n">
        <v>1976.1731</v>
      </c>
      <c r="E58" s="41" t="n">
        <v>1837.1119</v>
      </c>
      <c r="F58" s="41" t="n">
        <v>20.8295</v>
      </c>
      <c r="G58" s="41" t="n">
        <v>640.0568</v>
      </c>
      <c r="H58" s="68" t="n">
        <v>3353026.41904762</v>
      </c>
      <c r="I58" s="48" t="n"/>
      <c r="J58" s="68" t="n"/>
      <c r="K58" s="41" t="n"/>
      <c r="L58" s="41" t="n"/>
      <c r="M58" s="41" t="n"/>
      <c r="N58" s="41" t="n"/>
      <c r="O58" s="68" t="n"/>
      <c r="P58" s="48" t="n"/>
      <c r="Q58" s="70">
        <f>J58-C58</f>
        <v/>
      </c>
      <c r="R58" s="70">
        <f>K58-D58</f>
        <v/>
      </c>
      <c r="S58" s="70">
        <f>L58-E58</f>
        <v/>
      </c>
      <c r="T58" s="70">
        <f>M58-F58</f>
        <v/>
      </c>
      <c r="U58" s="70">
        <f>N58-G58</f>
        <v/>
      </c>
      <c r="V58" s="70">
        <f>O58-H58</f>
        <v/>
      </c>
      <c r="W58" s="48" t="n"/>
      <c r="X58" s="42">
        <f>IFERROR(J58/C58,0)</f>
        <v/>
      </c>
      <c r="Y58" s="42">
        <f>IFERROR(K58/D58,0)</f>
        <v/>
      </c>
      <c r="Z58" s="42">
        <f>IFERROR(L58/E58,0)</f>
        <v/>
      </c>
      <c r="AA58" s="42">
        <f>IFERROR(M58/F58,0)</f>
        <v/>
      </c>
      <c r="AB58" s="42">
        <f>IFERROR(N58/G58,0)</f>
        <v/>
      </c>
      <c r="AC58" s="42">
        <f>IFERROR(O58/H58,0)</f>
        <v/>
      </c>
    </row>
    <row r="59" outlineLevel="2" ht="14.9" customHeight="1" s="39">
      <c r="A59" s="74" t="n"/>
      <c r="B59" s="40" t="inlineStr">
        <is>
          <t>Aug</t>
        </is>
      </c>
      <c r="C59" s="68" t="n">
        <v>81.2</v>
      </c>
      <c r="D59" s="41" t="n">
        <v>741.1756</v>
      </c>
      <c r="E59" s="41" t="n">
        <v>567.5973</v>
      </c>
      <c r="F59" s="41" t="n">
        <v>74.43429999999999</v>
      </c>
      <c r="G59" s="41" t="n">
        <v>739.9168</v>
      </c>
      <c r="H59" s="68" t="n">
        <v>8906421.593197281</v>
      </c>
      <c r="I59" s="48" t="n"/>
      <c r="J59" s="68" t="n"/>
      <c r="K59" s="41" t="n"/>
      <c r="L59" s="41" t="n"/>
      <c r="M59" s="41" t="n"/>
      <c r="N59" s="41" t="n"/>
      <c r="O59" s="68" t="n"/>
      <c r="P59" s="48" t="n"/>
      <c r="Q59" s="70">
        <f>J59-C59</f>
        <v/>
      </c>
      <c r="R59" s="70">
        <f>K59-D59</f>
        <v/>
      </c>
      <c r="S59" s="70">
        <f>L59-E59</f>
        <v/>
      </c>
      <c r="T59" s="70">
        <f>M59-F59</f>
        <v/>
      </c>
      <c r="U59" s="70">
        <f>N59-G59</f>
        <v/>
      </c>
      <c r="V59" s="70">
        <f>O59-H59</f>
        <v/>
      </c>
      <c r="W59" s="48" t="n"/>
      <c r="X59" s="42">
        <f>IFERROR(J59/C59,0)</f>
        <v/>
      </c>
      <c r="Y59" s="42">
        <f>IFERROR(K59/D59,0)</f>
        <v/>
      </c>
      <c r="Z59" s="42">
        <f>IFERROR(L59/E59,0)</f>
        <v/>
      </c>
      <c r="AA59" s="42">
        <f>IFERROR(M59/F59,0)</f>
        <v/>
      </c>
      <c r="AB59" s="42">
        <f>IFERROR(N59/G59,0)</f>
        <v/>
      </c>
      <c r="AC59" s="42">
        <f>IFERROR(O59/H59,0)</f>
        <v/>
      </c>
    </row>
    <row r="60" outlineLevel="2" ht="14.9" customHeight="1" s="39">
      <c r="A60" s="74" t="n"/>
      <c r="B60" s="40" t="inlineStr">
        <is>
          <t>Sep</t>
        </is>
      </c>
      <c r="C60" s="68" t="n">
        <v>32.5</v>
      </c>
      <c r="D60" s="41" t="n">
        <v>382.377</v>
      </c>
      <c r="E60" s="41" t="n">
        <v>294.2405</v>
      </c>
      <c r="F60" s="41" t="n">
        <v>11.5801</v>
      </c>
      <c r="G60" s="41" t="n">
        <v>364.9456</v>
      </c>
      <c r="H60" s="68" t="n">
        <v>3440269.77278912</v>
      </c>
      <c r="I60" s="48" t="n"/>
      <c r="J60" s="68" t="n"/>
      <c r="K60" s="41" t="n"/>
      <c r="L60" s="41" t="n"/>
      <c r="M60" s="41" t="n"/>
      <c r="N60" s="41" t="n"/>
      <c r="O60" s="68" t="n"/>
      <c r="P60" s="48" t="n"/>
      <c r="Q60" s="70">
        <f>J60-C60</f>
        <v/>
      </c>
      <c r="R60" s="70">
        <f>K60-D60</f>
        <v/>
      </c>
      <c r="S60" s="70">
        <f>L60-E60</f>
        <v/>
      </c>
      <c r="T60" s="70">
        <f>M60-F60</f>
        <v/>
      </c>
      <c r="U60" s="70">
        <f>N60-G60</f>
        <v/>
      </c>
      <c r="V60" s="70">
        <f>O60-H60</f>
        <v/>
      </c>
      <c r="W60" s="48" t="n"/>
      <c r="X60" s="42">
        <f>IFERROR(J60/C60,0)</f>
        <v/>
      </c>
      <c r="Y60" s="42">
        <f>IFERROR(K60/D60,0)</f>
        <v/>
      </c>
      <c r="Z60" s="42">
        <f>IFERROR(L60/E60,0)</f>
        <v/>
      </c>
      <c r="AA60" s="42">
        <f>IFERROR(M60/F60,0)</f>
        <v/>
      </c>
      <c r="AB60" s="42">
        <f>IFERROR(N60/G60,0)</f>
        <v/>
      </c>
      <c r="AC60" s="42">
        <f>IFERROR(O60/H60,0)</f>
        <v/>
      </c>
    </row>
    <row r="61" outlineLevel="2" ht="14.9" customHeight="1" s="39">
      <c r="A61" s="74" t="n"/>
      <c r="B61" s="40" t="inlineStr">
        <is>
          <t>Oct</t>
        </is>
      </c>
      <c r="C61" s="68" t="n">
        <v>137.1</v>
      </c>
      <c r="D61" s="41" t="n">
        <v>1173.4797</v>
      </c>
      <c r="E61" s="41" t="n">
        <v>963.5934999999999</v>
      </c>
      <c r="F61" s="41" t="n">
        <v>138.5378</v>
      </c>
      <c r="G61" s="41" t="n">
        <v>841.9182</v>
      </c>
      <c r="H61" s="68" t="n">
        <v>10127959.0340136</v>
      </c>
      <c r="I61" s="48" t="n"/>
      <c r="J61" s="68" t="n"/>
      <c r="K61" s="41" t="n"/>
      <c r="L61" s="41" t="n"/>
      <c r="M61" s="41" t="n"/>
      <c r="N61" s="41" t="n"/>
      <c r="O61" s="68" t="n"/>
      <c r="P61" s="48" t="n"/>
      <c r="Q61" s="70">
        <f>J61-C61</f>
        <v/>
      </c>
      <c r="R61" s="70">
        <f>K61-D61</f>
        <v/>
      </c>
      <c r="S61" s="70">
        <f>L61-E61</f>
        <v/>
      </c>
      <c r="T61" s="70">
        <f>M61-F61</f>
        <v/>
      </c>
      <c r="U61" s="70">
        <f>N61-G61</f>
        <v/>
      </c>
      <c r="V61" s="70">
        <f>O61-H61</f>
        <v/>
      </c>
      <c r="W61" s="48" t="n"/>
      <c r="X61" s="42">
        <f>IFERROR(J61/C61,0)</f>
        <v/>
      </c>
      <c r="Y61" s="42">
        <f>IFERROR(K61/D61,0)</f>
        <v/>
      </c>
      <c r="Z61" s="42">
        <f>IFERROR(L61/E61,0)</f>
        <v/>
      </c>
      <c r="AA61" s="42">
        <f>IFERROR(M61/F61,0)</f>
        <v/>
      </c>
      <c r="AB61" s="42">
        <f>IFERROR(N61/G61,0)</f>
        <v/>
      </c>
      <c r="AC61" s="42">
        <f>IFERROR(O61/H61,0)</f>
        <v/>
      </c>
    </row>
    <row r="62" outlineLevel="2" ht="14.9" customHeight="1" s="39">
      <c r="A62" s="74" t="n"/>
      <c r="B62" s="40" t="inlineStr">
        <is>
          <t>Nov</t>
        </is>
      </c>
      <c r="C62" s="68" t="n">
        <v>140.9</v>
      </c>
      <c r="D62" s="41" t="n">
        <v>366.5222</v>
      </c>
      <c r="E62" s="41" t="n">
        <v>305.3914</v>
      </c>
      <c r="F62" s="41" t="n">
        <v>103.3095</v>
      </c>
      <c r="G62" s="41" t="n">
        <v>122.9255</v>
      </c>
      <c r="H62" s="68" t="n">
        <v>5368685.94013606</v>
      </c>
      <c r="I62" s="48" t="n"/>
      <c r="J62" s="68" t="n"/>
      <c r="K62" s="41" t="n"/>
      <c r="L62" s="41" t="n"/>
      <c r="M62" s="41" t="n"/>
      <c r="N62" s="41" t="n"/>
      <c r="O62" s="68" t="n"/>
      <c r="P62" s="48" t="n"/>
      <c r="Q62" s="70">
        <f>J62-C62</f>
        <v/>
      </c>
      <c r="R62" s="70">
        <f>K62-D62</f>
        <v/>
      </c>
      <c r="S62" s="70">
        <f>L62-E62</f>
        <v/>
      </c>
      <c r="T62" s="70">
        <f>M62-F62</f>
        <v/>
      </c>
      <c r="U62" s="70">
        <f>N62-G62</f>
        <v/>
      </c>
      <c r="V62" s="70">
        <f>O62-H62</f>
        <v/>
      </c>
      <c r="W62" s="48" t="n"/>
      <c r="X62" s="42">
        <f>IFERROR(J62/C62,0)</f>
        <v/>
      </c>
      <c r="Y62" s="42">
        <f>IFERROR(K62/D62,0)</f>
        <v/>
      </c>
      <c r="Z62" s="42">
        <f>IFERROR(L62/E62,0)</f>
        <v/>
      </c>
      <c r="AA62" s="42">
        <f>IFERROR(M62/F62,0)</f>
        <v/>
      </c>
      <c r="AB62" s="42">
        <f>IFERROR(N62/G62,0)</f>
        <v/>
      </c>
      <c r="AC62" s="42">
        <f>IFERROR(O62/H62,0)</f>
        <v/>
      </c>
    </row>
    <row r="63" outlineLevel="2" ht="14.9" customHeight="1" s="39">
      <c r="A63" s="74" t="n"/>
      <c r="B63" s="40" t="inlineStr">
        <is>
          <t>Dec</t>
        </is>
      </c>
      <c r="C63" s="68" t="n">
        <v>508.4</v>
      </c>
      <c r="D63" s="41" t="n">
        <v>5383.9397</v>
      </c>
      <c r="E63" s="41" t="n">
        <v>4676.7253</v>
      </c>
      <c r="F63" s="41" t="n">
        <v>78.9622</v>
      </c>
      <c r="G63" s="41" t="n">
        <v>2743.0285</v>
      </c>
      <c r="H63" s="68" t="n">
        <v>10308375.9605442</v>
      </c>
      <c r="I63" s="48" t="n"/>
      <c r="J63" s="68" t="n"/>
      <c r="K63" s="41" t="n"/>
      <c r="L63" s="41" t="n"/>
      <c r="M63" s="41" t="n"/>
      <c r="N63" s="41" t="n"/>
      <c r="O63" s="68" t="n"/>
      <c r="P63" s="48" t="n"/>
      <c r="Q63" s="70">
        <f>J63-C63</f>
        <v/>
      </c>
      <c r="R63" s="70">
        <f>K63-D63</f>
        <v/>
      </c>
      <c r="S63" s="70">
        <f>L63-E63</f>
        <v/>
      </c>
      <c r="T63" s="70">
        <f>M63-F63</f>
        <v/>
      </c>
      <c r="U63" s="70">
        <f>N63-G63</f>
        <v/>
      </c>
      <c r="V63" s="70">
        <f>O63-H63</f>
        <v/>
      </c>
      <c r="W63" s="48" t="n"/>
      <c r="X63" s="42">
        <f>IFERROR(J63/C63,0)</f>
        <v/>
      </c>
      <c r="Y63" s="42">
        <f>IFERROR(K63/D63,0)</f>
        <v/>
      </c>
      <c r="Z63" s="42">
        <f>IFERROR(L63/E63,0)</f>
        <v/>
      </c>
      <c r="AA63" s="42">
        <f>IFERROR(M63/F63,0)</f>
        <v/>
      </c>
      <c r="AB63" s="42">
        <f>IFERROR(N63/G63,0)</f>
        <v/>
      </c>
      <c r="AC63" s="42">
        <f>IFERROR(O63/H63,0)</f>
        <v/>
      </c>
    </row>
    <row r="64" outlineLevel="2" ht="13.8" customHeight="1" s="39">
      <c r="A64" s="75" t="n"/>
      <c r="B64" s="59" t="inlineStr">
        <is>
          <t>Grand Total</t>
        </is>
      </c>
      <c r="C64" s="71">
        <f>SUM(C52:C63)</f>
        <v/>
      </c>
      <c r="D64" s="71">
        <f>SUM(D52:D63)</f>
        <v/>
      </c>
      <c r="E64" s="71">
        <f>SUM(E52:E63)</f>
        <v/>
      </c>
      <c r="F64" s="71">
        <f>SUM(F52:F63)</f>
        <v/>
      </c>
      <c r="G64" s="71">
        <f>SUM(G52:G63)</f>
        <v/>
      </c>
      <c r="H64" s="71">
        <f>SUM(H52:H63)</f>
        <v/>
      </c>
      <c r="I64" s="48" t="n"/>
      <c r="J64" s="71">
        <f>SUM(J52:J63)</f>
        <v/>
      </c>
      <c r="K64" s="71">
        <f>SUM(K52:K63)</f>
        <v/>
      </c>
      <c r="L64" s="71">
        <f>SUM(L52:L63)</f>
        <v/>
      </c>
      <c r="M64" s="71">
        <f>SUM(M52:M63)</f>
        <v/>
      </c>
      <c r="N64" s="71">
        <f>SUM(N52:N63)</f>
        <v/>
      </c>
      <c r="O64" s="71">
        <f>SUM(O52:O63)</f>
        <v/>
      </c>
      <c r="P64" s="48" t="n"/>
      <c r="Q64" s="71">
        <f>SUM(Q52:Q63)</f>
        <v/>
      </c>
      <c r="R64" s="71">
        <f>SUM(R52:R63)</f>
        <v/>
      </c>
      <c r="S64" s="71">
        <f>SUM(S52:S63)</f>
        <v/>
      </c>
      <c r="T64" s="71">
        <f>SUM(T52:T63)</f>
        <v/>
      </c>
      <c r="U64" s="71">
        <f>SUM(U52:U63)</f>
        <v/>
      </c>
      <c r="V64" s="71">
        <f>SUM(V52:V63)</f>
        <v/>
      </c>
      <c r="W64" s="48" t="n"/>
      <c r="X64" s="61">
        <f>IFERROR(J64/C64,0)</f>
        <v/>
      </c>
      <c r="Y64" s="61">
        <f>IFERROR(K64/D64,0)</f>
        <v/>
      </c>
      <c r="Z64" s="61">
        <f>IFERROR(L64/E64,0)</f>
        <v/>
      </c>
      <c r="AA64" s="61">
        <f>IFERROR(M64/F64,0)</f>
        <v/>
      </c>
      <c r="AB64" s="61">
        <f>IFERROR(N64/G64,0)</f>
        <v/>
      </c>
      <c r="AC64" s="61">
        <f>IFERROR(O64/H64,0)</f>
        <v/>
      </c>
    </row>
    <row r="65" ht="13.8" customHeight="1" s="39">
      <c r="N65" s="72" t="inlineStr">
        <is>
          <t xml:space="preserve"> </t>
        </is>
      </c>
    </row>
  </sheetData>
  <mergeCells count="20">
    <mergeCell ref="C50:H50"/>
    <mergeCell ref="X34:AC34"/>
    <mergeCell ref="X18:AC18"/>
    <mergeCell ref="Q50:V50"/>
    <mergeCell ref="A50:A64"/>
    <mergeCell ref="Q34:V34"/>
    <mergeCell ref="C2:H2"/>
    <mergeCell ref="X50:AC50"/>
    <mergeCell ref="J50:O50"/>
    <mergeCell ref="A18:A32"/>
    <mergeCell ref="Q2:V2"/>
    <mergeCell ref="J2:O2"/>
    <mergeCell ref="A2:A16"/>
    <mergeCell ref="J18:O18"/>
    <mergeCell ref="C18:H18"/>
    <mergeCell ref="C34:H34"/>
    <mergeCell ref="X2:AC2"/>
    <mergeCell ref="Q18:V18"/>
    <mergeCell ref="A34:A48"/>
    <mergeCell ref="J34:O34"/>
  </mergeCells>
  <conditionalFormatting sqref="Q4:V15 Q20:V31 Q36:V47 Q52:V63">
    <cfRule type="cellIs" rank="0" priority="2" equalAverage="0" operator="lessThan" aboveAverage="0" dxfId="4" text="" percent="0" bottom="0">
      <formula>0</formula>
    </cfRule>
    <cfRule type="cellIs" rank="0" priority="3" equalAverage="0" operator="greaterThan" aboveAverage="0" dxfId="5" text="" percent="0" bottom="0">
      <formula>0</formula>
    </cfRule>
  </conditionalFormatting>
  <printOptions horizontalCentered="0" verticalCentered="0" headings="0" gridLines="0" gridLinesSet="1"/>
  <pageMargins left="0.7" right="0.7" top="0.3" bottom="0.3" header="0.3" footer="0.3"/>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2015-06-05T18:17:20Z</dcterms:created>
  <dcterms:modified xmlns:dcterms="http://purl.org/dc/terms/" xmlns:xsi="http://www.w3.org/2001/XMLSchema-instance" xsi:type="dcterms:W3CDTF">2026-09-12T07:27:09Z</dcterms:modified>
  <cp:lastModifiedBy>Shri</cp:lastModifiedBy>
  <cp:revision>0</cp:revision>
</cp:coreProperties>
</file>