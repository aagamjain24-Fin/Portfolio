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2c\Documents\"/>
    </mc:Choice>
  </mc:AlternateContent>
  <xr:revisionPtr revIDLastSave="0" documentId="13_ncr:1_{1C2E2810-8D5E-4C4D-9CD8-AA0357FE3F09}" xr6:coauthVersionLast="47" xr6:coauthVersionMax="47" xr10:uidLastSave="{00000000-0000-0000-0000-000000000000}"/>
  <bookViews>
    <workbookView xWindow="-120" yWindow="-120" windowWidth="20730" windowHeight="11160" tabRatio="789" xr2:uid="{00000000-000D-0000-FFFF-FFFF00000000}"/>
  </bookViews>
  <sheets>
    <sheet name="HistoricalFS" sheetId="3" r:id="rId1"/>
    <sheet name="Ratio Analysis" sheetId="6" r:id="rId2"/>
    <sheet name="Forecasting" sheetId="8" r:id="rId3"/>
    <sheet name="Data Sheet" sheetId="1" r:id="rId4"/>
    <sheet name="Cash Flow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8" l="1"/>
  <c r="N16" i="8"/>
  <c r="N17" i="8"/>
  <c r="N18" i="8"/>
  <c r="N14" i="8"/>
  <c r="N4" i="8" a="1"/>
  <c r="N4" i="8" s="1"/>
  <c r="L2" i="8"/>
  <c r="L8" i="8"/>
  <c r="L9" i="8" s="1"/>
  <c r="L10" i="8" s="1"/>
  <c r="L11" i="8" s="1"/>
  <c r="L12" i="8" s="1"/>
  <c r="L13" i="8" s="1"/>
  <c r="L14" i="8" s="1"/>
  <c r="L7" i="8"/>
  <c r="L6" i="8"/>
  <c r="M5" i="8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L5" i="8"/>
  <c r="M4" i="8"/>
  <c r="B2" i="8"/>
  <c r="G2" i="8"/>
  <c r="I4" i="8" a="1"/>
  <c r="I5" i="8" s="1"/>
  <c r="H5" i="8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4" i="8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G5" i="8"/>
  <c r="G6" i="8" s="1"/>
  <c r="G7" i="8" s="1"/>
  <c r="G8" i="8" s="1"/>
  <c r="G9" i="8" s="1"/>
  <c r="G10" i="8" s="1"/>
  <c r="G11" i="8" s="1"/>
  <c r="G12" i="8" s="1"/>
  <c r="G13" i="8" s="1"/>
  <c r="G14" i="8" s="1"/>
  <c r="D15" i="8"/>
  <c r="D16" i="8"/>
  <c r="D17" i="8"/>
  <c r="D18" i="8"/>
  <c r="D14" i="8"/>
  <c r="D4" i="8" a="1"/>
  <c r="D4" i="8" s="1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2" i="6"/>
  <c r="L3" i="6"/>
  <c r="K3" i="6"/>
  <c r="J3" i="6"/>
  <c r="I3" i="6"/>
  <c r="H3" i="6"/>
  <c r="G3" i="6"/>
  <c r="F3" i="6"/>
  <c r="E3" i="6"/>
  <c r="D3" i="6"/>
  <c r="C3" i="6"/>
  <c r="D77" i="3"/>
  <c r="E77" i="3"/>
  <c r="F77" i="3"/>
  <c r="G77" i="3"/>
  <c r="H77" i="3"/>
  <c r="I77" i="3"/>
  <c r="J77" i="3"/>
  <c r="K77" i="3"/>
  <c r="L77" i="3"/>
  <c r="C77" i="3"/>
  <c r="D75" i="3"/>
  <c r="E75" i="3"/>
  <c r="F75" i="3"/>
  <c r="G75" i="3"/>
  <c r="H75" i="3"/>
  <c r="I75" i="3"/>
  <c r="J75" i="3"/>
  <c r="K75" i="3"/>
  <c r="L75" i="3"/>
  <c r="C75" i="3"/>
  <c r="D73" i="3"/>
  <c r="E73" i="3"/>
  <c r="F73" i="3"/>
  <c r="G73" i="3"/>
  <c r="H73" i="3"/>
  <c r="I73" i="3"/>
  <c r="J73" i="3"/>
  <c r="K73" i="3"/>
  <c r="L73" i="3"/>
  <c r="C73" i="3"/>
  <c r="D71" i="3"/>
  <c r="E71" i="3"/>
  <c r="F71" i="3"/>
  <c r="G71" i="3"/>
  <c r="H71" i="3"/>
  <c r="I71" i="3"/>
  <c r="J71" i="3"/>
  <c r="K71" i="3"/>
  <c r="L71" i="3"/>
  <c r="C71" i="3"/>
  <c r="N10" i="8" l="1"/>
  <c r="N6" i="8"/>
  <c r="N11" i="8"/>
  <c r="N7" i="8"/>
  <c r="N13" i="8"/>
  <c r="N9" i="8"/>
  <c r="O9" i="8" s="1"/>
  <c r="N5" i="8"/>
  <c r="N12" i="8"/>
  <c r="O13" i="8" s="1"/>
  <c r="N8" i="8"/>
  <c r="L15" i="8"/>
  <c r="O14" i="8"/>
  <c r="O8" i="8"/>
  <c r="O11" i="8"/>
  <c r="I10" i="8"/>
  <c r="I6" i="8"/>
  <c r="I12" i="8"/>
  <c r="I8" i="8"/>
  <c r="I4" i="8"/>
  <c r="I11" i="8"/>
  <c r="I7" i="8"/>
  <c r="I13" i="8"/>
  <c r="I9" i="8"/>
  <c r="J6" i="8"/>
  <c r="J13" i="8"/>
  <c r="G15" i="8"/>
  <c r="J11" i="8"/>
  <c r="J8" i="8"/>
  <c r="D7" i="8"/>
  <c r="D10" i="8"/>
  <c r="D6" i="8"/>
  <c r="D13" i="8"/>
  <c r="E14" i="8" s="1"/>
  <c r="D9" i="8"/>
  <c r="D5" i="8"/>
  <c r="E5" i="8" s="1"/>
  <c r="D11" i="8"/>
  <c r="D12" i="8"/>
  <c r="D8" i="8"/>
  <c r="E7" i="8"/>
  <c r="E15" i="8"/>
  <c r="E11" i="8"/>
  <c r="B17" i="8"/>
  <c r="F41" i="6"/>
  <c r="D41" i="6"/>
  <c r="K39" i="6"/>
  <c r="J39" i="6"/>
  <c r="L41" i="6"/>
  <c r="H41" i="6"/>
  <c r="C57" i="3"/>
  <c r="D57" i="3"/>
  <c r="E57" i="3"/>
  <c r="F57" i="3"/>
  <c r="G57" i="3"/>
  <c r="H57" i="3"/>
  <c r="I57" i="3"/>
  <c r="J57" i="3"/>
  <c r="K57" i="3"/>
  <c r="L57" i="3"/>
  <c r="D60" i="3"/>
  <c r="E60" i="3"/>
  <c r="F60" i="3"/>
  <c r="G60" i="3"/>
  <c r="H60" i="3"/>
  <c r="I60" i="3"/>
  <c r="J60" i="3"/>
  <c r="K60" i="3"/>
  <c r="L60" i="3"/>
  <c r="D61" i="3"/>
  <c r="E61" i="3"/>
  <c r="F61" i="3"/>
  <c r="G61" i="3"/>
  <c r="H61" i="3"/>
  <c r="I61" i="3"/>
  <c r="J61" i="3"/>
  <c r="K61" i="3"/>
  <c r="L61" i="3"/>
  <c r="D62" i="3"/>
  <c r="E62" i="3"/>
  <c r="F62" i="3"/>
  <c r="G62" i="3"/>
  <c r="H62" i="3"/>
  <c r="I62" i="3"/>
  <c r="J62" i="3"/>
  <c r="K62" i="3"/>
  <c r="L62" i="3"/>
  <c r="C61" i="3"/>
  <c r="C62" i="3"/>
  <c r="C60" i="3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D54" i="3"/>
  <c r="E54" i="3"/>
  <c r="F54" i="3"/>
  <c r="G54" i="3"/>
  <c r="H54" i="3"/>
  <c r="I54" i="3"/>
  <c r="J54" i="3"/>
  <c r="K54" i="3"/>
  <c r="L54" i="3"/>
  <c r="C54" i="3"/>
  <c r="C49" i="3"/>
  <c r="D49" i="3"/>
  <c r="E49" i="3"/>
  <c r="F49" i="3"/>
  <c r="G49" i="3"/>
  <c r="H49" i="3"/>
  <c r="I49" i="3"/>
  <c r="J49" i="3"/>
  <c r="K49" i="3"/>
  <c r="L49" i="3"/>
  <c r="C50" i="3"/>
  <c r="C41" i="6" s="1"/>
  <c r="D50" i="3"/>
  <c r="E50" i="3"/>
  <c r="E41" i="6" s="1"/>
  <c r="F50" i="3"/>
  <c r="G50" i="3"/>
  <c r="G41" i="6" s="1"/>
  <c r="H50" i="3"/>
  <c r="I50" i="3"/>
  <c r="I41" i="6" s="1"/>
  <c r="J50" i="3"/>
  <c r="J41" i="6" s="1"/>
  <c r="K50" i="3"/>
  <c r="K41" i="6" s="1"/>
  <c r="L50" i="3"/>
  <c r="C51" i="3"/>
  <c r="D51" i="3"/>
  <c r="E51" i="3"/>
  <c r="F51" i="3"/>
  <c r="G51" i="3"/>
  <c r="H51" i="3"/>
  <c r="I51" i="3"/>
  <c r="J51" i="3"/>
  <c r="K51" i="3"/>
  <c r="L51" i="3"/>
  <c r="C52" i="3"/>
  <c r="D52" i="3"/>
  <c r="E52" i="3"/>
  <c r="F52" i="3"/>
  <c r="G52" i="3"/>
  <c r="H52" i="3"/>
  <c r="I52" i="3"/>
  <c r="J52" i="3"/>
  <c r="K52" i="3"/>
  <c r="L52" i="3"/>
  <c r="D48" i="3"/>
  <c r="E48" i="3"/>
  <c r="F48" i="3"/>
  <c r="G48" i="3"/>
  <c r="H48" i="3"/>
  <c r="I48" i="3"/>
  <c r="J48" i="3"/>
  <c r="K48" i="3"/>
  <c r="L48" i="3"/>
  <c r="C48" i="3"/>
  <c r="D36" i="3"/>
  <c r="D41" i="3" s="1"/>
  <c r="E36" i="3"/>
  <c r="E41" i="3" s="1"/>
  <c r="F36" i="3"/>
  <c r="F41" i="3" s="1"/>
  <c r="F9" i="6" s="1"/>
  <c r="G36" i="3"/>
  <c r="G41" i="3" s="1"/>
  <c r="G9" i="6" s="1"/>
  <c r="H36" i="3"/>
  <c r="H41" i="3" s="1"/>
  <c r="I36" i="3"/>
  <c r="I41" i="3" s="1"/>
  <c r="J36" i="3"/>
  <c r="J41" i="3" s="1"/>
  <c r="J9" i="6" s="1"/>
  <c r="K36" i="3"/>
  <c r="K41" i="3" s="1"/>
  <c r="K9" i="6" s="1"/>
  <c r="L36" i="3"/>
  <c r="L41" i="3" s="1"/>
  <c r="M36" i="3"/>
  <c r="M41" i="3" s="1"/>
  <c r="C36" i="3"/>
  <c r="C41" i="3" s="1"/>
  <c r="M30" i="3"/>
  <c r="D30" i="3"/>
  <c r="E30" i="3"/>
  <c r="F30" i="3"/>
  <c r="G30" i="3"/>
  <c r="H30" i="3"/>
  <c r="I30" i="3"/>
  <c r="J30" i="3"/>
  <c r="K30" i="3"/>
  <c r="L30" i="3"/>
  <c r="C30" i="3"/>
  <c r="M21" i="3"/>
  <c r="M24" i="3"/>
  <c r="D24" i="3"/>
  <c r="E24" i="3"/>
  <c r="F24" i="3"/>
  <c r="G24" i="3"/>
  <c r="H24" i="3"/>
  <c r="I24" i="3"/>
  <c r="J24" i="3"/>
  <c r="K24" i="3"/>
  <c r="L24" i="3"/>
  <c r="C24" i="3"/>
  <c r="D21" i="3"/>
  <c r="E21" i="3"/>
  <c r="F21" i="3"/>
  <c r="G21" i="3"/>
  <c r="H21" i="3"/>
  <c r="I21" i="3"/>
  <c r="J21" i="3"/>
  <c r="K21" i="3"/>
  <c r="L21" i="3"/>
  <c r="C21" i="3"/>
  <c r="B34" i="1"/>
  <c r="C34" i="1"/>
  <c r="D34" i="1"/>
  <c r="E34" i="1"/>
  <c r="F34" i="1"/>
  <c r="G34" i="1"/>
  <c r="H34" i="1"/>
  <c r="I34" i="1"/>
  <c r="J34" i="1"/>
  <c r="K34" i="1"/>
  <c r="C32" i="1"/>
  <c r="D32" i="1"/>
  <c r="E32" i="1"/>
  <c r="F32" i="1"/>
  <c r="G32" i="1"/>
  <c r="H32" i="1"/>
  <c r="I32" i="1"/>
  <c r="J32" i="1"/>
  <c r="K32" i="1"/>
  <c r="B32" i="1"/>
  <c r="D15" i="3"/>
  <c r="E15" i="3"/>
  <c r="F15" i="3"/>
  <c r="G15" i="3"/>
  <c r="H15" i="3"/>
  <c r="I15" i="3"/>
  <c r="J15" i="3"/>
  <c r="K15" i="3"/>
  <c r="L15" i="3"/>
  <c r="C15" i="3"/>
  <c r="M9" i="3"/>
  <c r="L9" i="3"/>
  <c r="K9" i="3"/>
  <c r="J9" i="3"/>
  <c r="I9" i="3"/>
  <c r="H9" i="3"/>
  <c r="G9" i="3"/>
  <c r="F9" i="3"/>
  <c r="E9" i="3"/>
  <c r="D9" i="3"/>
  <c r="C9" i="3"/>
  <c r="M6" i="3"/>
  <c r="M16" i="3" s="1"/>
  <c r="D6" i="3"/>
  <c r="D39" i="6" s="1"/>
  <c r="E6" i="3"/>
  <c r="E39" i="6" s="1"/>
  <c r="F6" i="3"/>
  <c r="G6" i="3"/>
  <c r="H6" i="3"/>
  <c r="I6" i="3"/>
  <c r="J6" i="3"/>
  <c r="K6" i="3"/>
  <c r="L6" i="3"/>
  <c r="L39" i="6" s="1"/>
  <c r="C6" i="3"/>
  <c r="C39" i="6" s="1"/>
  <c r="D3" i="3"/>
  <c r="E3" i="3"/>
  <c r="F3" i="3"/>
  <c r="G3" i="3"/>
  <c r="H3" i="3"/>
  <c r="I3" i="3"/>
  <c r="J3" i="3"/>
  <c r="K3" i="3"/>
  <c r="L3" i="3"/>
  <c r="C3" i="3"/>
  <c r="B2" i="3"/>
  <c r="B6" i="1"/>
  <c r="E1" i="1"/>
  <c r="O5" i="8" l="1"/>
  <c r="O6" i="8"/>
  <c r="O12" i="8"/>
  <c r="L16" i="8"/>
  <c r="O15" i="8"/>
  <c r="O10" i="8"/>
  <c r="O7" i="8"/>
  <c r="I17" i="8"/>
  <c r="I15" i="8"/>
  <c r="J15" i="8" s="1"/>
  <c r="I14" i="8"/>
  <c r="J14" i="8" s="1"/>
  <c r="I16" i="8"/>
  <c r="I18" i="8"/>
  <c r="G16" i="8"/>
  <c r="J9" i="8"/>
  <c r="J5" i="8"/>
  <c r="J12" i="8"/>
  <c r="J7" i="8"/>
  <c r="J10" i="8"/>
  <c r="E8" i="8"/>
  <c r="E9" i="8"/>
  <c r="E6" i="8"/>
  <c r="E16" i="8"/>
  <c r="E12" i="8"/>
  <c r="E13" i="8"/>
  <c r="E10" i="8"/>
  <c r="B18" i="8"/>
  <c r="O41" i="6"/>
  <c r="N41" i="6"/>
  <c r="O39" i="6"/>
  <c r="I29" i="6"/>
  <c r="I36" i="6" s="1"/>
  <c r="I30" i="6"/>
  <c r="I27" i="6"/>
  <c r="I34" i="6" s="1"/>
  <c r="I37" i="6" s="1"/>
  <c r="I31" i="6"/>
  <c r="I28" i="6"/>
  <c r="I35" i="6" s="1"/>
  <c r="H30" i="6"/>
  <c r="H27" i="6"/>
  <c r="H34" i="6" s="1"/>
  <c r="H37" i="6" s="1"/>
  <c r="H31" i="6"/>
  <c r="H28" i="6"/>
  <c r="H35" i="6" s="1"/>
  <c r="H29" i="6"/>
  <c r="H36" i="6" s="1"/>
  <c r="K27" i="6"/>
  <c r="K34" i="6" s="1"/>
  <c r="K37" i="6" s="1"/>
  <c r="K31" i="6"/>
  <c r="K28" i="6"/>
  <c r="K35" i="6" s="1"/>
  <c r="K29" i="6"/>
  <c r="K36" i="6" s="1"/>
  <c r="K30" i="6"/>
  <c r="G27" i="6"/>
  <c r="G34" i="6" s="1"/>
  <c r="G37" i="6" s="1"/>
  <c r="G31" i="6"/>
  <c r="G28" i="6"/>
  <c r="G35" i="6" s="1"/>
  <c r="G29" i="6"/>
  <c r="G36" i="6" s="1"/>
  <c r="G30" i="6"/>
  <c r="E9" i="6"/>
  <c r="H39" i="6"/>
  <c r="G39" i="6"/>
  <c r="C29" i="6"/>
  <c r="C28" i="6"/>
  <c r="C31" i="6"/>
  <c r="C27" i="6"/>
  <c r="C30" i="6"/>
  <c r="E29" i="6"/>
  <c r="E36" i="6" s="1"/>
  <c r="E30" i="6"/>
  <c r="E27" i="6"/>
  <c r="E34" i="6" s="1"/>
  <c r="E31" i="6"/>
  <c r="E28" i="6"/>
  <c r="E35" i="6" s="1"/>
  <c r="L30" i="6"/>
  <c r="L27" i="6"/>
  <c r="L34" i="6" s="1"/>
  <c r="L37" i="6" s="1"/>
  <c r="L31" i="6"/>
  <c r="L28" i="6"/>
  <c r="L35" i="6" s="1"/>
  <c r="L29" i="6"/>
  <c r="L36" i="6" s="1"/>
  <c r="D30" i="6"/>
  <c r="D27" i="6"/>
  <c r="D34" i="6" s="1"/>
  <c r="D37" i="6" s="1"/>
  <c r="D31" i="6"/>
  <c r="D28" i="6"/>
  <c r="D35" i="6" s="1"/>
  <c r="D29" i="6"/>
  <c r="D36" i="6" s="1"/>
  <c r="J28" i="6"/>
  <c r="J35" i="6" s="1"/>
  <c r="J37" i="6" s="1"/>
  <c r="J29" i="6"/>
  <c r="J36" i="6" s="1"/>
  <c r="J30" i="6"/>
  <c r="J27" i="6"/>
  <c r="J34" i="6" s="1"/>
  <c r="J31" i="6"/>
  <c r="F28" i="6"/>
  <c r="F35" i="6" s="1"/>
  <c r="F29" i="6"/>
  <c r="F36" i="6" s="1"/>
  <c r="F30" i="6"/>
  <c r="F27" i="6"/>
  <c r="F34" i="6" s="1"/>
  <c r="F31" i="6"/>
  <c r="I39" i="6"/>
  <c r="F39" i="6"/>
  <c r="N39" i="6" s="1"/>
  <c r="I9" i="6"/>
  <c r="L9" i="6"/>
  <c r="H9" i="6"/>
  <c r="D9" i="6"/>
  <c r="C63" i="3"/>
  <c r="K63" i="3"/>
  <c r="G63" i="3"/>
  <c r="F7" i="3"/>
  <c r="F5" i="6" s="1"/>
  <c r="M18" i="3"/>
  <c r="J58" i="3"/>
  <c r="F58" i="3"/>
  <c r="L63" i="3"/>
  <c r="H63" i="3"/>
  <c r="D63" i="3"/>
  <c r="K58" i="3"/>
  <c r="G58" i="3"/>
  <c r="I63" i="3"/>
  <c r="E63" i="3"/>
  <c r="C58" i="3"/>
  <c r="C65" i="3" s="1"/>
  <c r="I58" i="3"/>
  <c r="E58" i="3"/>
  <c r="L58" i="3"/>
  <c r="H58" i="3"/>
  <c r="D58" i="3"/>
  <c r="J63" i="3"/>
  <c r="F63" i="3"/>
  <c r="F65" i="3" s="1"/>
  <c r="J65" i="3"/>
  <c r="M22" i="3"/>
  <c r="D25" i="3"/>
  <c r="D18" i="6" s="1"/>
  <c r="G25" i="3"/>
  <c r="G18" i="6" s="1"/>
  <c r="H25" i="3"/>
  <c r="H18" i="6" s="1"/>
  <c r="K25" i="3"/>
  <c r="K18" i="6" s="1"/>
  <c r="L25" i="3"/>
  <c r="L18" i="6" s="1"/>
  <c r="D22" i="3"/>
  <c r="G22" i="3"/>
  <c r="I22" i="3"/>
  <c r="K22" i="3"/>
  <c r="C22" i="3"/>
  <c r="D16" i="3"/>
  <c r="D17" i="6" s="1"/>
  <c r="F16" i="3"/>
  <c r="F17" i="6" s="1"/>
  <c r="H16" i="3"/>
  <c r="H17" i="6" s="1"/>
  <c r="J16" i="3"/>
  <c r="J17" i="6" s="1"/>
  <c r="L16" i="3"/>
  <c r="L17" i="6" s="1"/>
  <c r="M25" i="3"/>
  <c r="E25" i="3"/>
  <c r="E18" i="6" s="1"/>
  <c r="F25" i="3"/>
  <c r="F18" i="6" s="1"/>
  <c r="I25" i="3"/>
  <c r="I18" i="6" s="1"/>
  <c r="J25" i="3"/>
  <c r="J18" i="6" s="1"/>
  <c r="C25" i="3"/>
  <c r="C18" i="6" s="1"/>
  <c r="E22" i="3"/>
  <c r="F22" i="3"/>
  <c r="H22" i="3"/>
  <c r="J22" i="3"/>
  <c r="L22" i="3"/>
  <c r="E16" i="3"/>
  <c r="E17" i="6" s="1"/>
  <c r="G16" i="3"/>
  <c r="G17" i="6" s="1"/>
  <c r="I16" i="3"/>
  <c r="I17" i="6" s="1"/>
  <c r="K16" i="3"/>
  <c r="K17" i="6" s="1"/>
  <c r="C16" i="3"/>
  <c r="C17" i="6" s="1"/>
  <c r="E12" i="3"/>
  <c r="M12" i="3"/>
  <c r="M13" i="3" s="1"/>
  <c r="M10" i="3"/>
  <c r="M7" i="3"/>
  <c r="D7" i="3"/>
  <c r="D5" i="6" s="1"/>
  <c r="D12" i="3"/>
  <c r="D10" i="3"/>
  <c r="E10" i="3"/>
  <c r="E7" i="3"/>
  <c r="E5" i="6" s="1"/>
  <c r="G12" i="3"/>
  <c r="G10" i="3"/>
  <c r="G7" i="3"/>
  <c r="G5" i="6" s="1"/>
  <c r="H12" i="3"/>
  <c r="H7" i="3"/>
  <c r="H5" i="6" s="1"/>
  <c r="H10" i="3"/>
  <c r="I12" i="3"/>
  <c r="I10" i="3"/>
  <c r="I7" i="3"/>
  <c r="I5" i="6" s="1"/>
  <c r="J10" i="3"/>
  <c r="J12" i="3"/>
  <c r="J7" i="3"/>
  <c r="J5" i="6" s="1"/>
  <c r="K7" i="3"/>
  <c r="K5" i="6" s="1"/>
  <c r="K12" i="3"/>
  <c r="K10" i="3"/>
  <c r="L12" i="3"/>
  <c r="L7" i="3"/>
  <c r="L5" i="6" s="1"/>
  <c r="L10" i="3"/>
  <c r="F10" i="3"/>
  <c r="F12" i="3"/>
  <c r="C10" i="3"/>
  <c r="C12" i="3"/>
  <c r="L17" i="8" l="1"/>
  <c r="O16" i="8"/>
  <c r="J16" i="8"/>
  <c r="G17" i="8"/>
  <c r="E17" i="8"/>
  <c r="E18" i="8"/>
  <c r="F67" i="3"/>
  <c r="F40" i="6"/>
  <c r="J67" i="3"/>
  <c r="J40" i="6"/>
  <c r="C67" i="3"/>
  <c r="C40" i="6"/>
  <c r="O18" i="6"/>
  <c r="N18" i="6"/>
  <c r="O30" i="6"/>
  <c r="N30" i="6"/>
  <c r="N29" i="6"/>
  <c r="C36" i="6"/>
  <c r="O29" i="6"/>
  <c r="K65" i="3"/>
  <c r="O5" i="6"/>
  <c r="N5" i="6"/>
  <c r="O17" i="6"/>
  <c r="N17" i="6"/>
  <c r="N9" i="6"/>
  <c r="O9" i="6"/>
  <c r="C34" i="6"/>
  <c r="O27" i="6"/>
  <c r="N27" i="6"/>
  <c r="N31" i="6"/>
  <c r="O31" i="6"/>
  <c r="F37" i="6"/>
  <c r="E37" i="6"/>
  <c r="N28" i="6"/>
  <c r="O28" i="6"/>
  <c r="C35" i="6"/>
  <c r="M27" i="3"/>
  <c r="M31" i="3" s="1"/>
  <c r="L65" i="3"/>
  <c r="E65" i="3"/>
  <c r="G65" i="3"/>
  <c r="M19" i="3"/>
  <c r="M28" i="3"/>
  <c r="I65" i="3"/>
  <c r="D65" i="3"/>
  <c r="H65" i="3"/>
  <c r="E18" i="3"/>
  <c r="E13" i="3"/>
  <c r="E11" i="6" s="1"/>
  <c r="D18" i="3"/>
  <c r="D13" i="3"/>
  <c r="D11" i="6" s="1"/>
  <c r="G18" i="3"/>
  <c r="G13" i="3"/>
  <c r="G11" i="6" s="1"/>
  <c r="H18" i="3"/>
  <c r="H13" i="3"/>
  <c r="H11" i="6" s="1"/>
  <c r="I18" i="3"/>
  <c r="I13" i="3"/>
  <c r="I11" i="6" s="1"/>
  <c r="J18" i="3"/>
  <c r="J13" i="3"/>
  <c r="J11" i="6" s="1"/>
  <c r="K18" i="3"/>
  <c r="K13" i="3"/>
  <c r="K11" i="6" s="1"/>
  <c r="L18" i="3"/>
  <c r="L13" i="3"/>
  <c r="L11" i="6" s="1"/>
  <c r="F18" i="3"/>
  <c r="F13" i="3"/>
  <c r="F11" i="6" s="1"/>
  <c r="C18" i="3"/>
  <c r="C13" i="3"/>
  <c r="C11" i="6" s="1"/>
  <c r="L18" i="8" l="1"/>
  <c r="O18" i="8" s="1"/>
  <c r="O17" i="8"/>
  <c r="G18" i="8"/>
  <c r="J18" i="8" s="1"/>
  <c r="J17" i="8"/>
  <c r="O11" i="6"/>
  <c r="N11" i="6"/>
  <c r="H67" i="3"/>
  <c r="H40" i="6"/>
  <c r="L67" i="3"/>
  <c r="L40" i="6"/>
  <c r="O36" i="6"/>
  <c r="N36" i="6"/>
  <c r="C13" i="6"/>
  <c r="C25" i="6"/>
  <c r="C21" i="6"/>
  <c r="L25" i="6"/>
  <c r="L21" i="6"/>
  <c r="J21" i="6"/>
  <c r="J25" i="6"/>
  <c r="H25" i="6"/>
  <c r="H21" i="6"/>
  <c r="D25" i="6"/>
  <c r="D21" i="6"/>
  <c r="D67" i="3"/>
  <c r="D40" i="6"/>
  <c r="I67" i="3"/>
  <c r="I40" i="6"/>
  <c r="G67" i="3"/>
  <c r="G40" i="6"/>
  <c r="N35" i="6"/>
  <c r="O35" i="6"/>
  <c r="K67" i="3"/>
  <c r="K40" i="6"/>
  <c r="O40" i="6"/>
  <c r="F21" i="6"/>
  <c r="F25" i="6"/>
  <c r="K21" i="6"/>
  <c r="K25" i="6"/>
  <c r="I21" i="6"/>
  <c r="I25" i="6"/>
  <c r="G21" i="6"/>
  <c r="G25" i="6"/>
  <c r="E21" i="6"/>
  <c r="E25" i="6"/>
  <c r="E67" i="3"/>
  <c r="E40" i="6"/>
  <c r="N40" i="6" s="1"/>
  <c r="N34" i="6"/>
  <c r="C37" i="6"/>
  <c r="O34" i="6"/>
  <c r="L13" i="6"/>
  <c r="L19" i="6" s="1"/>
  <c r="L6" i="6"/>
  <c r="H13" i="6"/>
  <c r="H19" i="6" s="1"/>
  <c r="H6" i="6"/>
  <c r="D13" i="6"/>
  <c r="D19" i="6" s="1"/>
  <c r="D6" i="6"/>
  <c r="F6" i="6"/>
  <c r="F13" i="6"/>
  <c r="F19" i="6" s="1"/>
  <c r="K13" i="6"/>
  <c r="K19" i="6" s="1"/>
  <c r="K6" i="6"/>
  <c r="I6" i="6"/>
  <c r="I13" i="6"/>
  <c r="I19" i="6" s="1"/>
  <c r="G13" i="6"/>
  <c r="G19" i="6" s="1"/>
  <c r="G6" i="6"/>
  <c r="E6" i="6"/>
  <c r="E13" i="6"/>
  <c r="E19" i="6" s="1"/>
  <c r="J6" i="6"/>
  <c r="J13" i="6"/>
  <c r="J19" i="6" s="1"/>
  <c r="M33" i="3"/>
  <c r="E27" i="3"/>
  <c r="E7" i="6" s="1"/>
  <c r="E19" i="3"/>
  <c r="E12" i="6" s="1"/>
  <c r="D27" i="3"/>
  <c r="D19" i="3"/>
  <c r="D12" i="6" s="1"/>
  <c r="G27" i="3"/>
  <c r="G19" i="3"/>
  <c r="G12" i="6" s="1"/>
  <c r="H27" i="3"/>
  <c r="H19" i="3"/>
  <c r="H12" i="6" s="1"/>
  <c r="I27" i="3"/>
  <c r="I7" i="6" s="1"/>
  <c r="I19" i="3"/>
  <c r="I12" i="6" s="1"/>
  <c r="J27" i="3"/>
  <c r="J19" i="3"/>
  <c r="J12" i="6" s="1"/>
  <c r="K27" i="3"/>
  <c r="K7" i="6" s="1"/>
  <c r="K19" i="3"/>
  <c r="K12" i="6" s="1"/>
  <c r="L27" i="3"/>
  <c r="L19" i="3"/>
  <c r="L12" i="6" s="1"/>
  <c r="F27" i="3"/>
  <c r="F7" i="6" s="1"/>
  <c r="F19" i="3"/>
  <c r="F12" i="6" s="1"/>
  <c r="C27" i="3"/>
  <c r="C19" i="3"/>
  <c r="C12" i="6" s="1"/>
  <c r="O25" i="6" l="1"/>
  <c r="N25" i="6"/>
  <c r="O6" i="6"/>
  <c r="N6" i="6"/>
  <c r="O21" i="6"/>
  <c r="N21" i="6"/>
  <c r="O12" i="6"/>
  <c r="N12" i="6"/>
  <c r="O37" i="6"/>
  <c r="N37" i="6"/>
  <c r="C19" i="6"/>
  <c r="O13" i="6"/>
  <c r="N13" i="6"/>
  <c r="G7" i="6"/>
  <c r="M34" i="3"/>
  <c r="M38" i="3"/>
  <c r="M42" i="3" s="1"/>
  <c r="M44" i="3" s="1"/>
  <c r="L7" i="6"/>
  <c r="J7" i="6"/>
  <c r="H7" i="6"/>
  <c r="D7" i="6"/>
  <c r="E31" i="3"/>
  <c r="E28" i="3"/>
  <c r="E14" i="6" s="1"/>
  <c r="E33" i="3"/>
  <c r="D31" i="3"/>
  <c r="D28" i="3"/>
  <c r="D14" i="6" s="1"/>
  <c r="D33" i="3"/>
  <c r="D23" i="6" s="1"/>
  <c r="G31" i="3"/>
  <c r="G28" i="3"/>
  <c r="G14" i="6" s="1"/>
  <c r="G33" i="3"/>
  <c r="G23" i="6" s="1"/>
  <c r="H31" i="3"/>
  <c r="H28" i="3"/>
  <c r="H14" i="6" s="1"/>
  <c r="H33" i="3"/>
  <c r="H23" i="6" s="1"/>
  <c r="I31" i="3"/>
  <c r="I28" i="3"/>
  <c r="I14" i="6" s="1"/>
  <c r="I33" i="3"/>
  <c r="J31" i="3"/>
  <c r="J28" i="3"/>
  <c r="J14" i="6" s="1"/>
  <c r="J33" i="3"/>
  <c r="J23" i="6" s="1"/>
  <c r="K31" i="3"/>
  <c r="K28" i="3"/>
  <c r="K14" i="6" s="1"/>
  <c r="K33" i="3"/>
  <c r="K23" i="6" s="1"/>
  <c r="L31" i="3"/>
  <c r="L28" i="3"/>
  <c r="L14" i="6" s="1"/>
  <c r="L33" i="3"/>
  <c r="L23" i="6" s="1"/>
  <c r="F31" i="3"/>
  <c r="F28" i="3"/>
  <c r="F14" i="6" s="1"/>
  <c r="F33" i="3"/>
  <c r="C31" i="3"/>
  <c r="C28" i="3"/>
  <c r="C14" i="6" s="1"/>
  <c r="C33" i="3"/>
  <c r="C23" i="6" s="1"/>
  <c r="N7" i="6" l="1"/>
  <c r="O7" i="6"/>
  <c r="F8" i="6"/>
  <c r="F23" i="6"/>
  <c r="I8" i="6"/>
  <c r="I23" i="6"/>
  <c r="E8" i="6"/>
  <c r="E23" i="6"/>
  <c r="O23" i="6" s="1"/>
  <c r="N19" i="6"/>
  <c r="O19" i="6"/>
  <c r="N14" i="6"/>
  <c r="O14" i="6"/>
  <c r="J8" i="6"/>
  <c r="D8" i="6"/>
  <c r="K8" i="6"/>
  <c r="G8" i="6"/>
  <c r="L8" i="6"/>
  <c r="H8" i="6"/>
  <c r="E34" i="3"/>
  <c r="E15" i="6" s="1"/>
  <c r="E38" i="3"/>
  <c r="D34" i="3"/>
  <c r="D15" i="6" s="1"/>
  <c r="D38" i="3"/>
  <c r="G34" i="3"/>
  <c r="G15" i="6" s="1"/>
  <c r="G38" i="3"/>
  <c r="H34" i="3"/>
  <c r="H15" i="6" s="1"/>
  <c r="H38" i="3"/>
  <c r="I34" i="3"/>
  <c r="I15" i="6" s="1"/>
  <c r="I38" i="3"/>
  <c r="J38" i="3"/>
  <c r="J34" i="3"/>
  <c r="J15" i="6" s="1"/>
  <c r="K34" i="3"/>
  <c r="K15" i="6" s="1"/>
  <c r="K38" i="3"/>
  <c r="L38" i="3"/>
  <c r="L34" i="3"/>
  <c r="L15" i="6" s="1"/>
  <c r="F38" i="3"/>
  <c r="F34" i="3"/>
  <c r="F15" i="6" s="1"/>
  <c r="C38" i="3"/>
  <c r="C42" i="3" s="1"/>
  <c r="C44" i="3" s="1"/>
  <c r="C22" i="6" s="1"/>
  <c r="C34" i="3"/>
  <c r="C15" i="6" s="1"/>
  <c r="O15" i="6" l="1"/>
  <c r="N15" i="6"/>
  <c r="N8" i="6"/>
  <c r="O8" i="6"/>
  <c r="N23" i="6"/>
  <c r="C24" i="6"/>
  <c r="E39" i="3"/>
  <c r="E42" i="3"/>
  <c r="E44" i="3" s="1"/>
  <c r="E22" i="6" s="1"/>
  <c r="E24" i="6" s="1"/>
  <c r="D39" i="3"/>
  <c r="D42" i="3"/>
  <c r="D44" i="3" s="1"/>
  <c r="D22" i="6" s="1"/>
  <c r="D24" i="6" s="1"/>
  <c r="G39" i="3"/>
  <c r="G42" i="3"/>
  <c r="G44" i="3" s="1"/>
  <c r="G22" i="6" s="1"/>
  <c r="G24" i="6" s="1"/>
  <c r="H39" i="3"/>
  <c r="H42" i="3"/>
  <c r="H44" i="3" s="1"/>
  <c r="H22" i="6" s="1"/>
  <c r="H24" i="6" s="1"/>
  <c r="I39" i="3"/>
  <c r="I42" i="3"/>
  <c r="I44" i="3" s="1"/>
  <c r="I22" i="6" s="1"/>
  <c r="I24" i="6" s="1"/>
  <c r="J39" i="3"/>
  <c r="J42" i="3"/>
  <c r="J44" i="3" s="1"/>
  <c r="J22" i="6" s="1"/>
  <c r="J24" i="6" s="1"/>
  <c r="K39" i="3"/>
  <c r="K42" i="3"/>
  <c r="K44" i="3" s="1"/>
  <c r="K22" i="6" s="1"/>
  <c r="K24" i="6" s="1"/>
  <c r="L39" i="3"/>
  <c r="L42" i="3"/>
  <c r="L44" i="3" s="1"/>
  <c r="L22" i="6" s="1"/>
  <c r="L24" i="6" s="1"/>
  <c r="M39" i="3"/>
  <c r="F39" i="3"/>
  <c r="F42" i="3"/>
  <c r="F44" i="3" s="1"/>
  <c r="F22" i="6" s="1"/>
  <c r="F24" i="6" s="1"/>
  <c r="N24" i="6" l="1"/>
  <c r="O24" i="6"/>
  <c r="N22" i="6"/>
  <c r="O22" i="6"/>
</calcChain>
</file>

<file path=xl/sharedStrings.xml><?xml version="1.0" encoding="utf-8"?>
<sst xmlns="http://schemas.openxmlformats.org/spreadsheetml/2006/main" count="203" uniqueCount="155">
  <si>
    <t>COMPANY NAME</t>
  </si>
  <si>
    <t>TATA STEEL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</si>
  <si>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</si>
  <si>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</si>
  <si>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</si>
  <si>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</si>
  <si>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</si>
  <si>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</si>
  <si>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</si>
  <si>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</si>
  <si>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</si>
  <si>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</si>
  <si>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</si>
  <si>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</si>
  <si>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</si>
  <si>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</si>
  <si>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</si>
  <si>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</si>
  <si>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</si>
  <si>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</si>
  <si>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</si>
  <si>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</si>
  <si>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</si>
  <si>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</si>
  <si>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</si>
  <si>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</si>
  <si>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</si>
  <si>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</si>
  <si>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</si>
  <si>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</si>
  <si>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</si>
  <si>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</si>
  <si>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</si>
  <si>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</si>
  <si>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</si>
  <si>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</si>
  <si>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</si>
  <si>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</si>
  <si>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</si>
  <si>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</si>
  <si>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</si>
  <si>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</si>
  <si>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</si>
  <si>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</si>
  <si>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</si>
  <si>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</si>
  <si>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</si>
  <si>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</si>
  <si>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</si>
  <si>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</si>
  <si>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</si>
  <si>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</si>
  <si>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</si>
  <si>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</si>
  <si>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</si>
  <si>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</si>
  <si>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#</t>
  </si>
  <si>
    <t>Income Statements</t>
  </si>
  <si>
    <t xml:space="preserve"> </t>
  </si>
  <si>
    <t>Sales Growth</t>
  </si>
  <si>
    <t>-</t>
  </si>
  <si>
    <t>COGS</t>
  </si>
  <si>
    <t>COGS % Sales</t>
  </si>
  <si>
    <t>Gross Profit</t>
  </si>
  <si>
    <t>EBITDA</t>
  </si>
  <si>
    <t>Selling &amp; General Expenses</t>
  </si>
  <si>
    <t>S&amp;G Exp % Sales</t>
  </si>
  <si>
    <t>EBITDA Margins</t>
  </si>
  <si>
    <t>Interest % Sales</t>
  </si>
  <si>
    <t>Depreciation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</si>
  <si>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</si>
  <si>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</si>
  <si>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</si>
  <si>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</si>
  <si>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</si>
  <si>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</si>
  <si>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</si>
  <si>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EPS</t>
  </si>
  <si>
    <t>Dividend per share</t>
  </si>
  <si>
    <t>EPS Growth %</t>
  </si>
  <si>
    <t>Dividend Payout Ratio</t>
  </si>
  <si>
    <t>RetainedEarnings</t>
  </si>
  <si>
    <t>Balance Sheet</t>
  </si>
  <si>
    <t>Total Liabilites</t>
  </si>
  <si>
    <t>Fixed Assest Net Block</t>
  </si>
  <si>
    <t>Total Non-current Asset</t>
  </si>
  <si>
    <t>Total Current Asset</t>
  </si>
  <si>
    <t>Total Asset</t>
  </si>
  <si>
    <t>Check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</si>
  <si>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</si>
  <si>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</si>
  <si>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</si>
  <si>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</si>
  <si>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</si>
  <si>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</si>
  <si>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</si>
  <si>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</si>
  <si>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</si>
  <si>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</si>
  <si>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</si>
  <si>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</si>
  <si>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</si>
  <si>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</si>
  <si>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</si>
  <si>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</si>
  <si>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</si>
  <si>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</si>
  <si>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</si>
  <si>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</si>
  <si>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</si>
  <si>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</si>
  <si>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</si>
  <si>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</si>
  <si>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</si>
  <si>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</si>
  <si>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</si>
  <si>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Flow Statement</t>
  </si>
  <si>
    <t>Effective tax rate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</si>
  <si>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</si>
  <si>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</si>
  <si>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</si>
  <si>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</si>
  <si>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</si>
  <si>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</si>
  <si>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</si>
  <si>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</si>
  <si>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</si>
  <si>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</si>
  <si>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</si>
  <si>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</si>
  <si>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</si>
  <si>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</si>
  <si>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</si>
  <si>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</si>
  <si>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</si>
  <si>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</si>
  <si>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</si>
  <si>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</si>
  <si>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</si>
  <si>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</si>
  <si>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</si>
  <si>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</si>
  <si>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</si>
  <si>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</si>
  <si>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</si>
  <si>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</si>
  <si>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</si>
  <si>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</si>
  <si>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(in days)</t>
  </si>
  <si>
    <t>Mean</t>
  </si>
  <si>
    <t>Median</t>
  </si>
  <si>
    <t>Trend</t>
  </si>
  <si>
    <t>Year Weight</t>
  </si>
  <si>
    <t>Year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</si>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</sst>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-"/>
    <numFmt numFmtId="167" formatCode="&quot;₹&quot;\ #,##0.0;&quot;₹&quot;\ \-#,##0.0"/>
    <numFmt numFmtId="168" formatCode="0.000%"/>
    <numFmt numFmtId="169" formatCode="0.00&quot;x&quot;"/>
    <numFmt numFmtId="170" formatCode="#,##0.0"/>
    <numFmt numFmtId="171" formatCode="yyyy&quot;A&quot;"/>
    <numFmt numFmtId="172" formatCode="yyyy&quot;E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43" fontId="4" fillId="0" borderId="0" xfId="1" applyFont="1" applyBorder="1"/>
    <xf numFmtId="43" fontId="0" fillId="0" borderId="0" xfId="1" applyFont="1" applyBorder="1"/>
    <xf numFmtId="165" fontId="6" fillId="3" borderId="0" xfId="1" applyNumberFormat="1" applyFont="1" applyFill="1" applyBorder="1"/>
    <xf numFmtId="165" fontId="6" fillId="3" borderId="0" xfId="0" applyNumberFormat="1" applyFont="1" applyFill="1" applyAlignment="1">
      <alignment horizontal="center"/>
    </xf>
    <xf numFmtId="165" fontId="7" fillId="0" borderId="0" xfId="1" applyNumberFormat="1" applyFont="1" applyFill="1" applyBorder="1"/>
    <xf numFmtId="43" fontId="1" fillId="0" borderId="0" xfId="1" applyFont="1" applyBorder="1"/>
    <xf numFmtId="164" fontId="0" fillId="0" borderId="0" xfId="1" applyNumberFormat="1" applyFont="1" applyBorder="1"/>
    <xf numFmtId="0" fontId="0" fillId="4" borderId="0" xfId="0" applyFill="1"/>
    <xf numFmtId="17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left"/>
    </xf>
    <xf numFmtId="17" fontId="5" fillId="5" borderId="0" xfId="0" applyNumberFormat="1" applyFont="1" applyFill="1" applyAlignment="1">
      <alignment horizontal="right"/>
    </xf>
    <xf numFmtId="0" fontId="4" fillId="4" borderId="0" xfId="0" applyFont="1" applyFill="1"/>
    <xf numFmtId="166" fontId="0" fillId="4" borderId="0" xfId="0" applyNumberFormat="1" applyFill="1"/>
    <xf numFmtId="10" fontId="0" fillId="4" borderId="0" xfId="2" applyNumberFormat="1" applyFont="1" applyFill="1"/>
    <xf numFmtId="0" fontId="8" fillId="4" borderId="0" xfId="0" applyFont="1" applyFill="1"/>
    <xf numFmtId="0" fontId="8" fillId="4" borderId="0" xfId="0" applyFont="1" applyFill="1" applyAlignment="1">
      <alignment horizontal="right"/>
    </xf>
    <xf numFmtId="10" fontId="8" fillId="4" borderId="0" xfId="2" applyNumberFormat="1" applyFont="1" applyFill="1"/>
    <xf numFmtId="167" fontId="0" fillId="4" borderId="0" xfId="0" applyNumberFormat="1" applyFill="1"/>
    <xf numFmtId="9" fontId="1" fillId="0" borderId="0" xfId="2" applyFont="1" applyBorder="1"/>
    <xf numFmtId="0" fontId="5" fillId="4" borderId="0" xfId="0" applyFont="1" applyFill="1" applyAlignment="1">
      <alignment horizontal="left"/>
    </xf>
    <xf numFmtId="17" fontId="5" fillId="4" borderId="0" xfId="0" applyNumberFormat="1" applyFont="1" applyFill="1" applyAlignment="1">
      <alignment horizontal="center"/>
    </xf>
    <xf numFmtId="17" fontId="5" fillId="4" borderId="0" xfId="0" applyNumberFormat="1" applyFont="1" applyFill="1" applyAlignment="1">
      <alignment horizontal="right"/>
    </xf>
    <xf numFmtId="0" fontId="4" fillId="6" borderId="0" xfId="0" applyFont="1" applyFill="1"/>
    <xf numFmtId="0" fontId="0" fillId="6" borderId="0" xfId="0" applyFill="1"/>
    <xf numFmtId="168" fontId="8" fillId="4" borderId="0" xfId="2" applyNumberFormat="1" applyFont="1" applyFill="1"/>
    <xf numFmtId="43" fontId="1" fillId="4" borderId="0" xfId="1" applyFont="1" applyFill="1" applyBorder="1"/>
    <xf numFmtId="43" fontId="4" fillId="4" borderId="0" xfId="1" applyFont="1" applyFill="1" applyBorder="1"/>
    <xf numFmtId="43" fontId="0" fillId="4" borderId="0" xfId="1" applyFont="1" applyFill="1" applyBorder="1"/>
    <xf numFmtId="17" fontId="9" fillId="4" borderId="1" xfId="0" applyNumberFormat="1" applyFont="1" applyFill="1" applyBorder="1" applyAlignment="1">
      <alignment horizontal="right" vertical="center" wrapText="1" indent="1"/>
    </xf>
    <xf numFmtId="0" fontId="10" fillId="4" borderId="2" xfId="0" applyFont="1" applyFill="1" applyBorder="1" applyAlignment="1">
      <alignment horizontal="left" vertical="center" indent="2"/>
    </xf>
    <xf numFmtId="3" fontId="10" fillId="4" borderId="2" xfId="0" applyNumberFormat="1" applyFont="1" applyFill="1" applyBorder="1" applyAlignment="1">
      <alignment horizontal="right" vertical="center" wrapText="1" indent="1"/>
    </xf>
    <xf numFmtId="0" fontId="10" fillId="4" borderId="2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3" fontId="12" fillId="4" borderId="0" xfId="0" applyNumberFormat="1" applyFont="1" applyFill="1" applyAlignment="1">
      <alignment horizontal="right" vertical="center" wrapText="1" indent="1"/>
    </xf>
    <xf numFmtId="0" fontId="12" fillId="4" borderId="0" xfId="0" applyFont="1" applyFill="1" applyAlignment="1">
      <alignment horizontal="right" vertical="center" wrapText="1" indent="1"/>
    </xf>
    <xf numFmtId="0" fontId="10" fillId="4" borderId="2" xfId="0" applyFont="1" applyFill="1" applyBorder="1" applyAlignment="1">
      <alignment horizontal="right" vertical="center" wrapText="1" indent="1"/>
    </xf>
    <xf numFmtId="0" fontId="13" fillId="4" borderId="0" xfId="0" applyFont="1" applyFill="1" applyAlignment="1">
      <alignment horizontal="left" vertical="center" indent="2"/>
    </xf>
    <xf numFmtId="0" fontId="13" fillId="4" borderId="0" xfId="0" applyFont="1" applyFill="1" applyAlignment="1">
      <alignment horizontal="right" vertical="center" wrapText="1" indent="1"/>
    </xf>
    <xf numFmtId="3" fontId="13" fillId="4" borderId="0" xfId="0" applyNumberFormat="1" applyFont="1" applyFill="1" applyAlignment="1">
      <alignment horizontal="right" vertical="center" wrapText="1" indent="1"/>
    </xf>
    <xf numFmtId="9" fontId="13" fillId="4" borderId="0" xfId="0" applyNumberFormat="1" applyFont="1" applyFill="1" applyAlignment="1">
      <alignment horizontal="right" vertical="center" wrapText="1" indent="1"/>
    </xf>
    <xf numFmtId="3" fontId="0" fillId="4" borderId="0" xfId="0" applyNumberFormat="1" applyFill="1"/>
    <xf numFmtId="166" fontId="4" fillId="4" borderId="0" xfId="0" applyNumberFormat="1" applyFont="1" applyFill="1"/>
    <xf numFmtId="0" fontId="4" fillId="4" borderId="3" xfId="0" applyFont="1" applyFill="1" applyBorder="1"/>
    <xf numFmtId="167" fontId="4" fillId="4" borderId="3" xfId="0" applyNumberFormat="1" applyFont="1" applyFill="1" applyBorder="1"/>
    <xf numFmtId="43" fontId="4" fillId="4" borderId="3" xfId="1" applyFont="1" applyFill="1" applyBorder="1"/>
    <xf numFmtId="0" fontId="0" fillId="4" borderId="4" xfId="0" applyFill="1" applyBorder="1"/>
    <xf numFmtId="10" fontId="0" fillId="4" borderId="4" xfId="2" applyNumberFormat="1" applyFont="1" applyFill="1" applyBorder="1"/>
    <xf numFmtId="10" fontId="0" fillId="4" borderId="0" xfId="2" applyNumberFormat="1" applyFont="1" applyFill="1" applyBorder="1"/>
    <xf numFmtId="0" fontId="0" fillId="4" borderId="5" xfId="0" applyFill="1" applyBorder="1"/>
    <xf numFmtId="10" fontId="0" fillId="4" borderId="5" xfId="2" applyNumberFormat="1" applyFont="1" applyFill="1" applyBorder="1"/>
    <xf numFmtId="169" fontId="0" fillId="4" borderId="5" xfId="2" applyNumberFormat="1" applyFont="1" applyFill="1" applyBorder="1"/>
    <xf numFmtId="169" fontId="0" fillId="4" borderId="4" xfId="2" applyNumberFormat="1" applyFont="1" applyFill="1" applyBorder="1"/>
    <xf numFmtId="169" fontId="0" fillId="4" borderId="0" xfId="2" applyNumberFormat="1" applyFont="1" applyFill="1" applyBorder="1"/>
    <xf numFmtId="0" fontId="14" fillId="4" borderId="4" xfId="0" applyFont="1" applyFill="1" applyBorder="1"/>
    <xf numFmtId="1" fontId="0" fillId="4" borderId="0" xfId="0" applyNumberFormat="1" applyFill="1"/>
    <xf numFmtId="1" fontId="0" fillId="4" borderId="5" xfId="0" applyNumberFormat="1" applyFill="1" applyBorder="1"/>
    <xf numFmtId="10" fontId="0" fillId="4" borderId="6" xfId="2" applyNumberFormat="1" applyFont="1" applyFill="1" applyBorder="1"/>
    <xf numFmtId="0" fontId="0" fillId="4" borderId="6" xfId="0" applyFill="1" applyBorder="1"/>
    <xf numFmtId="10" fontId="0" fillId="4" borderId="7" xfId="2" applyNumberFormat="1" applyFont="1" applyFill="1" applyBorder="1"/>
    <xf numFmtId="0" fontId="0" fillId="4" borderId="7" xfId="0" applyFill="1" applyBorder="1"/>
    <xf numFmtId="1" fontId="0" fillId="4" borderId="7" xfId="0" applyNumberFormat="1" applyFill="1" applyBorder="1"/>
    <xf numFmtId="169" fontId="0" fillId="4" borderId="6" xfId="2" applyNumberFormat="1" applyFont="1" applyFill="1" applyBorder="1"/>
    <xf numFmtId="169" fontId="0" fillId="4" borderId="7" xfId="2" applyNumberFormat="1" applyFont="1" applyFill="1" applyBorder="1"/>
    <xf numFmtId="0" fontId="6" fillId="7" borderId="0" xfId="0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70" fontId="0" fillId="4" borderId="0" xfId="0" applyNumberFormat="1" applyFill="1"/>
    <xf numFmtId="171" fontId="0" fillId="4" borderId="0" xfId="0" applyNumberFormat="1" applyFill="1"/>
    <xf numFmtId="0" fontId="0" fillId="8" borderId="0" xfId="0" applyFill="1" applyAlignment="1">
      <alignment horizontal="left"/>
    </xf>
    <xf numFmtId="172" fontId="0" fillId="8" borderId="0" xfId="0" applyNumberFormat="1" applyFill="1"/>
    <xf numFmtId="170" fontId="0" fillId="8" borderId="0" xfId="0" applyNumberFormat="1" applyFill="1"/>
    <xf numFmtId="10" fontId="0" fillId="8" borderId="0" xfId="2" applyNumberFormat="1" applyFont="1" applyFill="1"/>
    <xf numFmtId="0" fontId="5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3" fontId="3" fillId="0" borderId="0" xfId="4" applyNumberFormat="1" applyBorder="1" applyAlignment="1" applyProtection="1">
      <alignment horizontal="center"/>
    </xf>
    <xf numFmtId="43" fontId="6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2:M77"/>
  <sheetViews>
    <sheetView tabSelected="1" zoomScale="85" zoomScaleNormal="85" workbookViewId="0">
      <pane ySplit="5" topLeftCell="A6" activePane="bottomLeft" state="frozen"/>
      <selection activeCell="B1" sqref="B1"/>
      <selection pane="bottomLeft" activeCell="E19" sqref="E19"/>
    </sheetView>
  </sheetViews>
  <sheetFormatPr defaultRowHeight="15" x14ac:dyDescent="0.25"/>
  <cols>
    <col min="1" max="1" width="2" style="8" customWidth="1"/>
    <col min="2" max="2" width="28.5703125" style="8" customWidth="1"/>
    <col min="3" max="3" width="15.7109375" style="8" bestFit="1" customWidth="1"/>
    <col min="4" max="12" width="14.140625" style="8" bestFit="1" customWidth="1"/>
    <col min="13" max="13" width="13.42578125" style="8" bestFit="1" customWidth="1"/>
    <col min="14" max="16384" width="9.140625" style="8"/>
  </cols>
  <sheetData>
    <row r="2" spans="1:13" x14ac:dyDescent="0.25">
      <c r="B2" s="73" t="str">
        <f>"Historical Financial Statement -"&amp;'Data Sheet'!B1</f>
        <v>Historical Financial Statement -TATA STEEL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x14ac:dyDescent="0.25">
      <c r="B3" s="10" t="s">
        <v>54</v>
      </c>
      <c r="C3" s="9">
        <f>'Data Sheet'!B16</f>
        <v>42825</v>
      </c>
      <c r="D3" s="9">
        <f>'Data Sheet'!C16</f>
        <v>43190</v>
      </c>
      <c r="E3" s="9">
        <f>'Data Sheet'!D16</f>
        <v>43555</v>
      </c>
      <c r="F3" s="9">
        <f>'Data Sheet'!E16</f>
        <v>43921</v>
      </c>
      <c r="G3" s="9">
        <f>'Data Sheet'!F16</f>
        <v>44286</v>
      </c>
      <c r="H3" s="9">
        <f>'Data Sheet'!G16</f>
        <v>44651</v>
      </c>
      <c r="I3" s="9">
        <f>'Data Sheet'!H16</f>
        <v>45016</v>
      </c>
      <c r="J3" s="9">
        <f>'Data Sheet'!I16</f>
        <v>45382</v>
      </c>
      <c r="K3" s="9">
        <f>'Data Sheet'!J16</f>
        <v>45747</v>
      </c>
      <c r="L3" s="9">
        <f>'Data Sheet'!K16</f>
        <v>46112</v>
      </c>
      <c r="M3" s="11" t="s">
        <v>55</v>
      </c>
    </row>
    <row r="4" spans="1:13" x14ac:dyDescent="0.25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x14ac:dyDescent="0.25">
      <c r="A5" s="8" t="s">
        <v>56</v>
      </c>
      <c r="B5" s="23" t="s">
        <v>57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25">
      <c r="B6" s="8" t="s">
        <v>12</v>
      </c>
      <c r="C6" s="13">
        <f>IFERROR('Data Sheet'!B17,0)</f>
        <v>112299.42</v>
      </c>
      <c r="D6" s="13">
        <f>IFERROR('Data Sheet'!C17,0)</f>
        <v>123249.07</v>
      </c>
      <c r="E6" s="13">
        <f>IFERROR('Data Sheet'!D17,0)</f>
        <v>157668.99</v>
      </c>
      <c r="F6" s="13">
        <f>IFERROR('Data Sheet'!E17,0)</f>
        <v>139816.65</v>
      </c>
      <c r="G6" s="13">
        <f>IFERROR('Data Sheet'!F17,0)</f>
        <v>156477.4</v>
      </c>
      <c r="H6" s="13">
        <f>IFERROR('Data Sheet'!G17,0)</f>
        <v>243959.17</v>
      </c>
      <c r="I6" s="13">
        <f>IFERROR('Data Sheet'!H17,0)</f>
        <v>243352.69</v>
      </c>
      <c r="J6" s="13">
        <f>IFERROR('Data Sheet'!I17,0)</f>
        <v>229170.78</v>
      </c>
      <c r="K6" s="13">
        <f>IFERROR('Data Sheet'!J17,0)</f>
        <v>218542.51</v>
      </c>
      <c r="L6" s="13">
        <f>IFERROR('Data Sheet'!K17,0)</f>
        <v>232139.94</v>
      </c>
      <c r="M6" s="13">
        <f>IFERROR(SUM('Data Sheet'!H42:K42),0)</f>
        <v>239756.11000000002</v>
      </c>
    </row>
    <row r="7" spans="1:13" s="15" customFormat="1" x14ac:dyDescent="0.25">
      <c r="B7" s="15" t="s">
        <v>59</v>
      </c>
      <c r="C7" s="16" t="s">
        <v>60</v>
      </c>
      <c r="D7" s="17">
        <f>D6/C6-1</f>
        <v>9.7504065470685575E-2</v>
      </c>
      <c r="E7" s="17">
        <f t="shared" ref="E7:M7" si="0">E6/D6-1</f>
        <v>0.27927123506895413</v>
      </c>
      <c r="F7" s="17">
        <f t="shared" si="0"/>
        <v>-0.11322670361495935</v>
      </c>
      <c r="G7" s="17">
        <f t="shared" si="0"/>
        <v>0.11916141604022124</v>
      </c>
      <c r="H7" s="17">
        <f t="shared" si="0"/>
        <v>0.55906968035000593</v>
      </c>
      <c r="I7" s="17">
        <f t="shared" si="0"/>
        <v>-2.4859897662383723E-3</v>
      </c>
      <c r="J7" s="17">
        <f t="shared" si="0"/>
        <v>-5.8277186087402622E-2</v>
      </c>
      <c r="K7" s="17">
        <f t="shared" si="0"/>
        <v>-4.6377073028245563E-2</v>
      </c>
      <c r="L7" s="17">
        <f t="shared" si="0"/>
        <v>6.2218696033096599E-2</v>
      </c>
      <c r="M7" s="17">
        <f t="shared" si="0"/>
        <v>3.2808529200102354E-2</v>
      </c>
    </row>
    <row r="9" spans="1:13" x14ac:dyDescent="0.25">
      <c r="B9" s="8" t="s">
        <v>61</v>
      </c>
      <c r="C9" s="13">
        <f>IFERROR(SUM('Data Sheet'!B18,'Data Sheet'!B20:B22)-1*'Data Sheet'!B19,0)</f>
        <v>77577.09</v>
      </c>
      <c r="D9" s="13">
        <f>IFERROR(SUM('Data Sheet'!C18,'Data Sheet'!C20:C22)-1*'Data Sheet'!C19,0)</f>
        <v>84710.05</v>
      </c>
      <c r="E9" s="13">
        <f>IFERROR(SUM('Data Sheet'!D18,'Data Sheet'!D20:D22)-1*'Data Sheet'!D19,0)</f>
        <v>105590.04999999999</v>
      </c>
      <c r="F9" s="13">
        <f>IFERROR(SUM('Data Sheet'!E18,'Data Sheet'!E20:E22)-1*'Data Sheet'!E19,0)</f>
        <v>102560.93999999999</v>
      </c>
      <c r="G9" s="13">
        <f>IFERROR(SUM('Data Sheet'!F18,'Data Sheet'!F20:F22)-1*'Data Sheet'!F19,0)</f>
        <v>102979.74</v>
      </c>
      <c r="H9" s="13">
        <f>IFERROR(SUM('Data Sheet'!G18,'Data Sheet'!G20:G22)-1*'Data Sheet'!G19,0)</f>
        <v>143605.19</v>
      </c>
      <c r="I9" s="13">
        <f>IFERROR(SUM('Data Sheet'!H18,'Data Sheet'!H20:H22)-1*'Data Sheet'!H19,0)</f>
        <v>178329.36</v>
      </c>
      <c r="J9" s="13">
        <f>IFERROR(SUM('Data Sheet'!I18,'Data Sheet'!I20:I22)-1*'Data Sheet'!I19,0)</f>
        <v>183154.84</v>
      </c>
      <c r="K9" s="13">
        <f>IFERROR(SUM('Data Sheet'!J18,'Data Sheet'!J20:J22)-1*'Data Sheet'!J19,0)</f>
        <v>171714.99000000002</v>
      </c>
      <c r="L9" s="13">
        <f>IFERROR(SUM('Data Sheet'!K18,'Data Sheet'!K20:K22)-1*'Data Sheet'!K19,0)</f>
        <v>171435.78</v>
      </c>
      <c r="M9" s="13">
        <f>IFERROR(SUM('Data Sheet'!H43:K43),0)</f>
        <v>203566.87</v>
      </c>
    </row>
    <row r="10" spans="1:13" s="15" customFormat="1" x14ac:dyDescent="0.25">
      <c r="B10" s="15" t="s">
        <v>62</v>
      </c>
      <c r="C10" s="17">
        <f>C9/C6</f>
        <v>0.69080579401033415</v>
      </c>
      <c r="D10" s="17">
        <f t="shared" ref="D10:M10" si="1">D9/D6</f>
        <v>0.68730782309351302</v>
      </c>
      <c r="E10" s="17">
        <f t="shared" si="1"/>
        <v>0.66969446560163792</v>
      </c>
      <c r="F10" s="17">
        <f t="shared" si="1"/>
        <v>0.73353881672890886</v>
      </c>
      <c r="G10" s="17">
        <f t="shared" si="1"/>
        <v>0.65811254532603436</v>
      </c>
      <c r="H10" s="17">
        <f t="shared" si="1"/>
        <v>0.58864436208731152</v>
      </c>
      <c r="I10" s="17">
        <f t="shared" si="1"/>
        <v>0.73280209066108937</v>
      </c>
      <c r="J10" s="17">
        <f t="shared" si="1"/>
        <v>0.79920677496494097</v>
      </c>
      <c r="K10" s="17">
        <f t="shared" si="1"/>
        <v>0.78572809473086047</v>
      </c>
      <c r="L10" s="17">
        <f t="shared" si="1"/>
        <v>0.73850187089735608</v>
      </c>
      <c r="M10" s="17">
        <f t="shared" si="1"/>
        <v>0.84905811159515387</v>
      </c>
    </row>
    <row r="12" spans="1:13" x14ac:dyDescent="0.25">
      <c r="B12" s="43" t="s">
        <v>63</v>
      </c>
      <c r="C12" s="44">
        <f>C9+C6</f>
        <v>189876.51</v>
      </c>
      <c r="D12" s="44">
        <f t="shared" ref="D12:M12" si="2">D9+D6</f>
        <v>207959.12</v>
      </c>
      <c r="E12" s="44">
        <f t="shared" si="2"/>
        <v>263259.03999999998</v>
      </c>
      <c r="F12" s="44">
        <f t="shared" si="2"/>
        <v>242377.58999999997</v>
      </c>
      <c r="G12" s="44">
        <f t="shared" si="2"/>
        <v>259457.14</v>
      </c>
      <c r="H12" s="44">
        <f t="shared" si="2"/>
        <v>387564.36</v>
      </c>
      <c r="I12" s="44">
        <f t="shared" si="2"/>
        <v>421682.05</v>
      </c>
      <c r="J12" s="44">
        <f t="shared" si="2"/>
        <v>412325.62</v>
      </c>
      <c r="K12" s="44">
        <f t="shared" si="2"/>
        <v>390257.5</v>
      </c>
      <c r="L12" s="44">
        <f t="shared" si="2"/>
        <v>403575.72</v>
      </c>
      <c r="M12" s="44">
        <f t="shared" si="2"/>
        <v>443322.98</v>
      </c>
    </row>
    <row r="13" spans="1:13" s="15" customFormat="1" x14ac:dyDescent="0.25">
      <c r="B13" s="15" t="s">
        <v>70</v>
      </c>
      <c r="C13" s="17">
        <f>C12/C6</f>
        <v>1.6908057940103343</v>
      </c>
      <c r="D13" s="17">
        <f t="shared" ref="D13:M13" si="3">D12/D6</f>
        <v>1.6873078230935128</v>
      </c>
      <c r="E13" s="17">
        <f t="shared" si="3"/>
        <v>1.6696944656016379</v>
      </c>
      <c r="F13" s="17">
        <f t="shared" si="3"/>
        <v>1.7335388167289087</v>
      </c>
      <c r="G13" s="17">
        <f t="shared" si="3"/>
        <v>1.6581125453260344</v>
      </c>
      <c r="H13" s="17">
        <f t="shared" si="3"/>
        <v>1.5886443620873114</v>
      </c>
      <c r="I13" s="17">
        <f t="shared" si="3"/>
        <v>1.7328020906610895</v>
      </c>
      <c r="J13" s="17">
        <f t="shared" si="3"/>
        <v>1.799206774964941</v>
      </c>
      <c r="K13" s="17">
        <f t="shared" si="3"/>
        <v>1.7857280947308602</v>
      </c>
      <c r="L13" s="17">
        <f t="shared" si="3"/>
        <v>1.7385018708973561</v>
      </c>
      <c r="M13" s="17">
        <f t="shared" si="3"/>
        <v>1.8490581115951537</v>
      </c>
    </row>
    <row r="15" spans="1:13" x14ac:dyDescent="0.25">
      <c r="B15" s="8" t="s">
        <v>65</v>
      </c>
      <c r="C15" s="18">
        <f>IFERROR(SUM('Data Sheet'!B23:B24),0)</f>
        <v>21578.7</v>
      </c>
      <c r="D15" s="18">
        <f>IFERROR(SUM('Data Sheet'!C23:C24),0)</f>
        <v>17105.830000000002</v>
      </c>
      <c r="E15" s="18">
        <f>IFERROR(SUM('Data Sheet'!D23:D24),0)</f>
        <v>22760.720000000001</v>
      </c>
      <c r="F15" s="18">
        <f>IFERROR(SUM('Data Sheet'!E23:E24),0)</f>
        <v>19792.650000000001</v>
      </c>
      <c r="G15" s="18">
        <f>IFERROR(SUM('Data Sheet'!F23:F24),0)</f>
        <v>22993.4</v>
      </c>
      <c r="H15" s="18">
        <f>IFERROR(SUM('Data Sheet'!G23:G24),0)</f>
        <v>36864.03</v>
      </c>
      <c r="I15" s="18">
        <f>IFERROR(SUM('Data Sheet'!H23:H24),0)</f>
        <v>32723.17</v>
      </c>
      <c r="J15" s="18">
        <f>IFERROR(SUM('Data Sheet'!I23:I24),0)</f>
        <v>23768.02</v>
      </c>
      <c r="K15" s="18">
        <f>IFERROR(SUM('Data Sheet'!J23:J24),0)</f>
        <v>21529.07</v>
      </c>
      <c r="L15" s="18">
        <f>IFERROR(SUM('Data Sheet'!K23:K24),0)</f>
        <v>26351.72</v>
      </c>
      <c r="M15" s="18"/>
    </row>
    <row r="16" spans="1:13" s="15" customFormat="1" x14ac:dyDescent="0.25">
      <c r="B16" s="15" t="s">
        <v>66</v>
      </c>
      <c r="C16" s="17">
        <f>C15/C6</f>
        <v>0.19215326312460029</v>
      </c>
      <c r="D16" s="17">
        <f t="shared" ref="D16:M16" si="4">D15/D6</f>
        <v>0.13879074300520078</v>
      </c>
      <c r="E16" s="17">
        <f t="shared" si="4"/>
        <v>0.14435761908540165</v>
      </c>
      <c r="F16" s="17">
        <f t="shared" si="4"/>
        <v>0.14156146639187825</v>
      </c>
      <c r="G16" s="17">
        <f t="shared" si="4"/>
        <v>0.14694390372028165</v>
      </c>
      <c r="H16" s="17">
        <f t="shared" si="4"/>
        <v>0.15110737587769296</v>
      </c>
      <c r="I16" s="17">
        <f t="shared" si="4"/>
        <v>0.13446808416212699</v>
      </c>
      <c r="J16" s="17">
        <f t="shared" si="4"/>
        <v>0.10371313480715125</v>
      </c>
      <c r="K16" s="17">
        <f t="shared" si="4"/>
        <v>9.8512046923960012E-2</v>
      </c>
      <c r="L16" s="17">
        <f t="shared" si="4"/>
        <v>0.11351652800461653</v>
      </c>
      <c r="M16" s="17">
        <f t="shared" si="4"/>
        <v>0</v>
      </c>
    </row>
    <row r="18" spans="2:13" x14ac:dyDescent="0.25">
      <c r="B18" s="43" t="s">
        <v>64</v>
      </c>
      <c r="C18" s="44">
        <f t="shared" ref="C18:L18" si="5">C12-C15</f>
        <v>168297.81</v>
      </c>
      <c r="D18" s="44">
        <f t="shared" si="5"/>
        <v>190853.28999999998</v>
      </c>
      <c r="E18" s="44">
        <f t="shared" si="5"/>
        <v>240498.31999999998</v>
      </c>
      <c r="F18" s="44">
        <f t="shared" si="5"/>
        <v>222584.93999999997</v>
      </c>
      <c r="G18" s="44">
        <f t="shared" si="5"/>
        <v>236463.74000000002</v>
      </c>
      <c r="H18" s="44">
        <f t="shared" si="5"/>
        <v>350700.32999999996</v>
      </c>
      <c r="I18" s="44">
        <f t="shared" si="5"/>
        <v>388958.88</v>
      </c>
      <c r="J18" s="44">
        <f t="shared" si="5"/>
        <v>388557.6</v>
      </c>
      <c r="K18" s="44">
        <f t="shared" si="5"/>
        <v>368728.43</v>
      </c>
      <c r="L18" s="44">
        <f t="shared" si="5"/>
        <v>377224</v>
      </c>
      <c r="M18" s="44">
        <f>IFERROR(SUM('Data Sheet'!H34:K34),0)</f>
        <v>112689.12</v>
      </c>
    </row>
    <row r="19" spans="2:13" s="15" customFormat="1" x14ac:dyDescent="0.25">
      <c r="B19" s="15" t="s">
        <v>67</v>
      </c>
      <c r="C19" s="17">
        <f>C18/C6</f>
        <v>1.4986525308857339</v>
      </c>
      <c r="D19" s="17">
        <f t="shared" ref="D19:M19" si="6">D18/D6</f>
        <v>1.5485170800883119</v>
      </c>
      <c r="E19" s="17">
        <f t="shared" si="6"/>
        <v>1.5253368465162362</v>
      </c>
      <c r="F19" s="17">
        <f t="shared" si="6"/>
        <v>1.5919773503370305</v>
      </c>
      <c r="G19" s="17">
        <f t="shared" si="6"/>
        <v>1.5111686416057528</v>
      </c>
      <c r="H19" s="17">
        <f t="shared" si="6"/>
        <v>1.4375369862096183</v>
      </c>
      <c r="I19" s="17">
        <f t="shared" si="6"/>
        <v>1.5983340064989624</v>
      </c>
      <c r="J19" s="17">
        <f t="shared" si="6"/>
        <v>1.6954936401577896</v>
      </c>
      <c r="K19" s="17">
        <f t="shared" si="6"/>
        <v>1.6872160478069003</v>
      </c>
      <c r="L19" s="17">
        <f t="shared" si="6"/>
        <v>1.6249853428927397</v>
      </c>
      <c r="M19" s="17">
        <f t="shared" si="6"/>
        <v>0.4700156338038684</v>
      </c>
    </row>
    <row r="21" spans="2:13" x14ac:dyDescent="0.25">
      <c r="B21" s="8" t="s">
        <v>22</v>
      </c>
      <c r="C21" s="18">
        <f>IFERROR('Data Sheet'!B27,0)</f>
        <v>5072.2</v>
      </c>
      <c r="D21" s="18">
        <f>IFERROR('Data Sheet'!C27,0)</f>
        <v>5454.74</v>
      </c>
      <c r="E21" s="18">
        <f>IFERROR('Data Sheet'!D27,0)</f>
        <v>7660.1</v>
      </c>
      <c r="F21" s="18">
        <f>IFERROR('Data Sheet'!E27,0)</f>
        <v>7533.46</v>
      </c>
      <c r="G21" s="18">
        <f>IFERROR('Data Sheet'!F27,0)</f>
        <v>7606.71</v>
      </c>
      <c r="H21" s="18">
        <f>IFERROR('Data Sheet'!G27,0)</f>
        <v>5462.2</v>
      </c>
      <c r="I21" s="18">
        <f>IFERROR('Data Sheet'!H27,0)</f>
        <v>6298.7</v>
      </c>
      <c r="J21" s="18">
        <f>IFERROR('Data Sheet'!I27,0)</f>
        <v>7507.57</v>
      </c>
      <c r="K21" s="18">
        <f>IFERROR('Data Sheet'!J27,0)</f>
        <v>7340.95</v>
      </c>
      <c r="L21" s="18">
        <f>IFERROR('Data Sheet'!K27,0)</f>
        <v>7167.06</v>
      </c>
      <c r="M21" s="18">
        <f>IFERROR(SUM('Data Sheet'!H46:K46),0)</f>
        <v>7085.14</v>
      </c>
    </row>
    <row r="22" spans="2:13" s="15" customFormat="1" x14ac:dyDescent="0.25">
      <c r="B22" s="15" t="s">
        <v>68</v>
      </c>
      <c r="C22" s="17">
        <f t="shared" ref="C22:M22" si="7">C21/C6</f>
        <v>4.5166751529081804E-2</v>
      </c>
      <c r="D22" s="17">
        <f t="shared" si="7"/>
        <v>4.4257859308796402E-2</v>
      </c>
      <c r="E22" s="17">
        <f t="shared" si="7"/>
        <v>4.8583427850968038E-2</v>
      </c>
      <c r="F22" s="17">
        <f t="shared" si="7"/>
        <v>5.3880993429609426E-2</v>
      </c>
      <c r="G22" s="17">
        <f t="shared" si="7"/>
        <v>4.8612195754786314E-2</v>
      </c>
      <c r="H22" s="17">
        <f t="shared" si="7"/>
        <v>2.2389812196852446E-2</v>
      </c>
      <c r="I22" s="17">
        <f t="shared" si="7"/>
        <v>2.5883009552925013E-2</v>
      </c>
      <c r="J22" s="17">
        <f t="shared" si="7"/>
        <v>3.2759717447398834E-2</v>
      </c>
      <c r="K22" s="17">
        <f t="shared" si="7"/>
        <v>3.3590490014963219E-2</v>
      </c>
      <c r="L22" s="17">
        <f t="shared" si="7"/>
        <v>3.0873877196659912E-2</v>
      </c>
      <c r="M22" s="17">
        <f t="shared" si="7"/>
        <v>2.9551447093465105E-2</v>
      </c>
    </row>
    <row r="24" spans="2:13" x14ac:dyDescent="0.25">
      <c r="B24" s="8" t="s">
        <v>21</v>
      </c>
      <c r="C24" s="18">
        <f>IFERROR('Data Sheet'!B26,0)</f>
        <v>5672.88</v>
      </c>
      <c r="D24" s="18">
        <f>IFERROR('Data Sheet'!C26,0)</f>
        <v>5741.7</v>
      </c>
      <c r="E24" s="18">
        <f>IFERROR('Data Sheet'!D26,0)</f>
        <v>7341.83</v>
      </c>
      <c r="F24" s="18">
        <f>IFERROR('Data Sheet'!E26,0)</f>
        <v>8440.73</v>
      </c>
      <c r="G24" s="18">
        <f>IFERROR('Data Sheet'!F26,0)</f>
        <v>9233.64</v>
      </c>
      <c r="H24" s="18">
        <f>IFERROR('Data Sheet'!G26,0)</f>
        <v>9100.8700000000008</v>
      </c>
      <c r="I24" s="18">
        <f>IFERROR('Data Sheet'!H26,0)</f>
        <v>9335.2000000000007</v>
      </c>
      <c r="J24" s="18">
        <f>IFERROR('Data Sheet'!I26,0)</f>
        <v>9882.16</v>
      </c>
      <c r="K24" s="18">
        <f>IFERROR('Data Sheet'!J26,0)</f>
        <v>10421.33</v>
      </c>
      <c r="L24" s="18">
        <f>IFERROR('Data Sheet'!K26,0)</f>
        <v>11954.51</v>
      </c>
      <c r="M24" s="18">
        <f>IFERROR(SUM('Data Sheet'!H45:K45),0)</f>
        <v>12849.859999999999</v>
      </c>
    </row>
    <row r="25" spans="2:13" s="15" customFormat="1" x14ac:dyDescent="0.25">
      <c r="B25" s="15" t="s">
        <v>69</v>
      </c>
      <c r="C25" s="17">
        <f>C24/C6</f>
        <v>5.0515666064882614E-2</v>
      </c>
      <c r="D25" s="17">
        <f t="shared" ref="D25:M25" si="8">D24/D6</f>
        <v>4.6586152739326953E-2</v>
      </c>
      <c r="E25" s="17">
        <f t="shared" si="8"/>
        <v>4.6564831803641286E-2</v>
      </c>
      <c r="F25" s="17">
        <f t="shared" si="8"/>
        <v>6.0369991699844049E-2</v>
      </c>
      <c r="G25" s="17">
        <f t="shared" si="8"/>
        <v>5.9009416056248376E-2</v>
      </c>
      <c r="H25" s="17">
        <f t="shared" si="8"/>
        <v>3.7304889994501947E-2</v>
      </c>
      <c r="I25" s="17">
        <f t="shared" si="8"/>
        <v>3.8360784094887142E-2</v>
      </c>
      <c r="J25" s="17">
        <f t="shared" si="8"/>
        <v>4.3121378737725639E-2</v>
      </c>
      <c r="K25" s="17">
        <f t="shared" si="8"/>
        <v>4.768559672898421E-2</v>
      </c>
      <c r="L25" s="17">
        <f t="shared" si="8"/>
        <v>5.1496997888428854E-2</v>
      </c>
      <c r="M25" s="17">
        <f t="shared" si="8"/>
        <v>5.3595547575409019E-2</v>
      </c>
    </row>
    <row r="27" spans="2:13" x14ac:dyDescent="0.25">
      <c r="B27" s="43" t="s">
        <v>71</v>
      </c>
      <c r="C27" s="44">
        <f>IFERROR(C18-SUM(C24,C21),0)</f>
        <v>157552.73000000001</v>
      </c>
      <c r="D27" s="44">
        <f t="shared" ref="D27:M27" si="9">IFERROR(D18-SUM(D24,D21),0)</f>
        <v>179656.84999999998</v>
      </c>
      <c r="E27" s="44">
        <f t="shared" si="9"/>
        <v>225496.38999999998</v>
      </c>
      <c r="F27" s="44">
        <f t="shared" si="9"/>
        <v>206610.74999999997</v>
      </c>
      <c r="G27" s="44">
        <f t="shared" si="9"/>
        <v>219623.39</v>
      </c>
      <c r="H27" s="44">
        <f t="shared" si="9"/>
        <v>336137.25999999995</v>
      </c>
      <c r="I27" s="44">
        <f t="shared" si="9"/>
        <v>373324.98</v>
      </c>
      <c r="J27" s="44">
        <f t="shared" si="9"/>
        <v>371167.87</v>
      </c>
      <c r="K27" s="44">
        <f t="shared" si="9"/>
        <v>350966.15</v>
      </c>
      <c r="L27" s="44">
        <f t="shared" si="9"/>
        <v>358102.43</v>
      </c>
      <c r="M27" s="44">
        <f t="shared" si="9"/>
        <v>92754.12</v>
      </c>
    </row>
    <row r="28" spans="2:13" s="15" customFormat="1" x14ac:dyDescent="0.25">
      <c r="B28" s="15" t="s">
        <v>72</v>
      </c>
      <c r="C28" s="17">
        <f>C27/C6</f>
        <v>1.4029701132917696</v>
      </c>
      <c r="D28" s="17">
        <f t="shared" ref="D28:M28" si="10">D27/D6</f>
        <v>1.4576730680401886</v>
      </c>
      <c r="E28" s="17">
        <f t="shared" si="10"/>
        <v>1.4301885868616271</v>
      </c>
      <c r="F28" s="17">
        <f t="shared" si="10"/>
        <v>1.4777263652075772</v>
      </c>
      <c r="G28" s="17">
        <f t="shared" si="10"/>
        <v>1.4035470297947181</v>
      </c>
      <c r="H28" s="17">
        <f t="shared" si="10"/>
        <v>1.377842284018264</v>
      </c>
      <c r="I28" s="17">
        <f t="shared" si="10"/>
        <v>1.5340902128511502</v>
      </c>
      <c r="J28" s="17">
        <f t="shared" si="10"/>
        <v>1.6196125439726652</v>
      </c>
      <c r="K28" s="17">
        <f t="shared" si="10"/>
        <v>1.605939961062953</v>
      </c>
      <c r="L28" s="17">
        <f t="shared" si="10"/>
        <v>1.5426144678076508</v>
      </c>
      <c r="M28" s="17">
        <f t="shared" si="10"/>
        <v>0.38686863913499425</v>
      </c>
    </row>
    <row r="30" spans="2:13" x14ac:dyDescent="0.25">
      <c r="B30" s="8" t="s">
        <v>24</v>
      </c>
      <c r="C30" s="18">
        <f>IFERROR('Data Sheet'!B29,0)</f>
        <v>2778.01</v>
      </c>
      <c r="D30" s="18">
        <f>IFERROR('Data Sheet'!C29,0)</f>
        <v>3392.33</v>
      </c>
      <c r="E30" s="18">
        <f>IFERROR('Data Sheet'!D29,0)</f>
        <v>6718.43</v>
      </c>
      <c r="F30" s="18">
        <f>IFERROR('Data Sheet'!E29,0)</f>
        <v>-2568.41</v>
      </c>
      <c r="G30" s="18">
        <f>IFERROR('Data Sheet'!F29,0)</f>
        <v>5653.9</v>
      </c>
      <c r="H30" s="18">
        <f>IFERROR('Data Sheet'!G29,0)</f>
        <v>8477.5499999999993</v>
      </c>
      <c r="I30" s="18">
        <f>IFERROR('Data Sheet'!H29,0)</f>
        <v>10159.77</v>
      </c>
      <c r="J30" s="18">
        <f>IFERROR('Data Sheet'!I29,0)</f>
        <v>3762.57</v>
      </c>
      <c r="K30" s="18">
        <f>IFERROR('Data Sheet'!J29,0)</f>
        <v>5239.09</v>
      </c>
      <c r="L30" s="18">
        <f>IFERROR('Data Sheet'!K29,0)</f>
        <v>5082.87</v>
      </c>
      <c r="M30" s="18">
        <f>IFERROR(SUM('Data Sheet'!H48:K48),0)</f>
        <v>5475.4400000000005</v>
      </c>
    </row>
    <row r="31" spans="2:13" s="15" customFormat="1" x14ac:dyDescent="0.25">
      <c r="B31" s="15" t="s">
        <v>73</v>
      </c>
      <c r="C31" s="17">
        <f>C30/C27</f>
        <v>1.7632255562947084E-2</v>
      </c>
      <c r="D31" s="17">
        <f t="shared" ref="D31:M31" si="11">D30/D27</f>
        <v>1.8882274736532454E-2</v>
      </c>
      <c r="E31" s="17">
        <f t="shared" si="11"/>
        <v>2.9793958120571246E-2</v>
      </c>
      <c r="F31" s="17">
        <f t="shared" si="11"/>
        <v>-1.2431153751680395E-2</v>
      </c>
      <c r="G31" s="17">
        <f t="shared" si="11"/>
        <v>2.5743615012954673E-2</v>
      </c>
      <c r="H31" s="17">
        <f t="shared" si="11"/>
        <v>2.5220500696649936E-2</v>
      </c>
      <c r="I31" s="17">
        <f t="shared" si="11"/>
        <v>2.7214278562339978E-2</v>
      </c>
      <c r="J31" s="17">
        <f t="shared" si="11"/>
        <v>1.0137111275283607E-2</v>
      </c>
      <c r="K31" s="17">
        <f t="shared" si="11"/>
        <v>1.4927621937329284E-2</v>
      </c>
      <c r="L31" s="17">
        <f t="shared" si="11"/>
        <v>1.4193899773313463E-2</v>
      </c>
      <c r="M31" s="17">
        <f t="shared" si="11"/>
        <v>5.9031771311074926E-2</v>
      </c>
    </row>
    <row r="32" spans="2:13" x14ac:dyDescent="0.25">
      <c r="E32" s="8" t="s">
        <v>58</v>
      </c>
    </row>
    <row r="33" spans="1:13" x14ac:dyDescent="0.25">
      <c r="B33" s="43" t="s">
        <v>74</v>
      </c>
      <c r="C33" s="44">
        <f>IFERROR(C27-C30,0)</f>
        <v>154774.72</v>
      </c>
      <c r="D33" s="44">
        <f t="shared" ref="D33:M33" si="12">IFERROR(D27-D30,0)</f>
        <v>176264.52</v>
      </c>
      <c r="E33" s="44">
        <f t="shared" si="12"/>
        <v>218777.96</v>
      </c>
      <c r="F33" s="44">
        <f t="shared" si="12"/>
        <v>209179.15999999997</v>
      </c>
      <c r="G33" s="44">
        <f t="shared" si="12"/>
        <v>213969.49000000002</v>
      </c>
      <c r="H33" s="44">
        <f t="shared" si="12"/>
        <v>327659.70999999996</v>
      </c>
      <c r="I33" s="44">
        <f t="shared" si="12"/>
        <v>363165.20999999996</v>
      </c>
      <c r="J33" s="44">
        <f t="shared" si="12"/>
        <v>367405.3</v>
      </c>
      <c r="K33" s="44">
        <f t="shared" si="12"/>
        <v>345727.06</v>
      </c>
      <c r="L33" s="44">
        <f t="shared" si="12"/>
        <v>353019.56</v>
      </c>
      <c r="M33" s="44">
        <f t="shared" si="12"/>
        <v>87278.68</v>
      </c>
    </row>
    <row r="34" spans="1:13" s="15" customFormat="1" x14ac:dyDescent="0.25">
      <c r="B34" s="15" t="s">
        <v>75</v>
      </c>
      <c r="C34" s="17">
        <f>C33/C6</f>
        <v>1.3782325857070321</v>
      </c>
      <c r="D34" s="17">
        <f t="shared" ref="D34:M34" si="13">D33/D6</f>
        <v>1.4301488846934096</v>
      </c>
      <c r="E34" s="17">
        <f t="shared" si="13"/>
        <v>1.3875776080001527</v>
      </c>
      <c r="F34" s="17">
        <f t="shared" si="13"/>
        <v>1.4960962088563843</v>
      </c>
      <c r="G34" s="17">
        <f t="shared" si="13"/>
        <v>1.3674146554071069</v>
      </c>
      <c r="H34" s="17">
        <f t="shared" si="13"/>
        <v>1.3430924117343077</v>
      </c>
      <c r="I34" s="17">
        <f t="shared" si="13"/>
        <v>1.4923410544588596</v>
      </c>
      <c r="J34" s="17">
        <f t="shared" si="13"/>
        <v>1.6031943513915692</v>
      </c>
      <c r="K34" s="17">
        <f t="shared" si="13"/>
        <v>1.5819670964701558</v>
      </c>
      <c r="L34" s="17">
        <f t="shared" si="13"/>
        <v>1.5207187526627257</v>
      </c>
      <c r="M34" s="17">
        <f t="shared" si="13"/>
        <v>0.36403109810215051</v>
      </c>
    </row>
    <row r="36" spans="1:13" x14ac:dyDescent="0.25">
      <c r="B36" s="8" t="s">
        <v>76</v>
      </c>
      <c r="C36" s="18">
        <f>IFERROR('Data Sheet'!B93,0)</f>
        <v>1126.6199999999999</v>
      </c>
      <c r="D36" s="18">
        <f>IFERROR('Data Sheet'!C93,0)</f>
        <v>1126.48</v>
      </c>
      <c r="E36" s="18">
        <f>IFERROR('Data Sheet'!D93,0)</f>
        <v>1126.49</v>
      </c>
      <c r="F36" s="18">
        <f>IFERROR('Data Sheet'!E93,0)</f>
        <v>1126.49</v>
      </c>
      <c r="G36" s="18">
        <f>IFERROR('Data Sheet'!F93,0)</f>
        <v>1196.5899999999999</v>
      </c>
      <c r="H36" s="18">
        <f>IFERROR('Data Sheet'!G93,0)</f>
        <v>1221.3</v>
      </c>
      <c r="I36" s="18">
        <f>IFERROR('Data Sheet'!H93,0)</f>
        <v>1222.1500000000001</v>
      </c>
      <c r="J36" s="18">
        <f>IFERROR('Data Sheet'!I93,0)</f>
        <v>1248.3499999999999</v>
      </c>
      <c r="K36" s="18">
        <f>IFERROR('Data Sheet'!J93,0)</f>
        <v>1248.3499999999999</v>
      </c>
      <c r="L36" s="18">
        <f>IFERROR('Data Sheet'!K93,0)</f>
        <v>1248.3499999999999</v>
      </c>
      <c r="M36" s="18">
        <f>IFERROR('Data Sheet'!L93,0)</f>
        <v>0</v>
      </c>
    </row>
    <row r="38" spans="1:13" x14ac:dyDescent="0.25">
      <c r="B38" s="8" t="s">
        <v>77</v>
      </c>
      <c r="C38" s="18">
        <f>IFERROR(C33/C36,0)</f>
        <v>137.3797021178392</v>
      </c>
      <c r="D38" s="18">
        <f t="shared" ref="D38:M38" si="14">IFERROR(D33/D36,0)</f>
        <v>156.47372345714081</v>
      </c>
      <c r="E38" s="18">
        <f t="shared" si="14"/>
        <v>194.21207467443119</v>
      </c>
      <c r="F38" s="18">
        <f t="shared" si="14"/>
        <v>185.6910935738444</v>
      </c>
      <c r="G38" s="18">
        <f t="shared" si="14"/>
        <v>178.81604392481972</v>
      </c>
      <c r="H38" s="18">
        <f t="shared" si="14"/>
        <v>268.28765250143289</v>
      </c>
      <c r="I38" s="18">
        <f t="shared" si="14"/>
        <v>297.15273084318613</v>
      </c>
      <c r="J38" s="18">
        <f t="shared" si="14"/>
        <v>294.31273280730568</v>
      </c>
      <c r="K38" s="18">
        <f t="shared" si="14"/>
        <v>276.94721832819323</v>
      </c>
      <c r="L38" s="18">
        <f t="shared" si="14"/>
        <v>282.78892938679058</v>
      </c>
      <c r="M38" s="18">
        <f t="shared" si="14"/>
        <v>0</v>
      </c>
    </row>
    <row r="39" spans="1:13" s="15" customFormat="1" x14ac:dyDescent="0.25">
      <c r="B39" s="15" t="s">
        <v>79</v>
      </c>
      <c r="D39" s="25">
        <f>IFERROR(D38/C38-1,0)</f>
        <v>0.13898720877210424</v>
      </c>
      <c r="E39" s="25">
        <f t="shared" ref="E39:M39" si="15">IFERROR(E38/D38-1,0)</f>
        <v>0.24118011883079626</v>
      </c>
      <c r="F39" s="25">
        <f t="shared" si="15"/>
        <v>-4.3874620642774143E-2</v>
      </c>
      <c r="G39" s="25">
        <f t="shared" si="15"/>
        <v>-3.7024121710450553E-2</v>
      </c>
      <c r="H39" s="25">
        <f t="shared" si="15"/>
        <v>0.50035559792515061</v>
      </c>
      <c r="I39" s="25">
        <f t="shared" si="15"/>
        <v>0.1075900365619662</v>
      </c>
      <c r="J39" s="25">
        <f t="shared" si="15"/>
        <v>-9.5573681178087178E-3</v>
      </c>
      <c r="K39" s="25">
        <f t="shared" si="15"/>
        <v>-5.9003612631608804E-2</v>
      </c>
      <c r="L39" s="25">
        <f t="shared" si="15"/>
        <v>2.1093228860940227E-2</v>
      </c>
      <c r="M39" s="25">
        <f t="shared" si="15"/>
        <v>-1</v>
      </c>
    </row>
    <row r="40" spans="1:13" s="15" customFormat="1" x14ac:dyDescent="0.25"/>
    <row r="41" spans="1:13" x14ac:dyDescent="0.25">
      <c r="B41" s="8" t="s">
        <v>78</v>
      </c>
      <c r="C41" s="18">
        <f>IFERROR('Data Sheet'!B31/HistoricalFS!C36,0)</f>
        <v>0.86119543413040789</v>
      </c>
      <c r="D41" s="18">
        <f>IFERROR('Data Sheet'!C31/HistoricalFS!D36,0)</f>
        <v>1.0163962076557063</v>
      </c>
      <c r="E41" s="18">
        <f>IFERROR('Data Sheet'!D31/HistoricalFS!E36,0)</f>
        <v>1.3212900247671973</v>
      </c>
      <c r="F41" s="18">
        <f>IFERROR('Data Sheet'!E31/HistoricalFS!F36,0)</f>
        <v>1.0163871849727917</v>
      </c>
      <c r="G41" s="18">
        <f>IFERROR('Data Sheet'!F31/HistoricalFS!G36,0)</f>
        <v>2.5021268772094034</v>
      </c>
      <c r="H41" s="18">
        <f>IFERROR('Data Sheet'!G31/HistoricalFS!H36,0)</f>
        <v>5.0996233521657253</v>
      </c>
      <c r="I41" s="18">
        <f>IFERROR('Data Sheet'!H31/HistoricalFS!I36,0)</f>
        <v>3.5973162050484797</v>
      </c>
      <c r="J41" s="18">
        <f>IFERROR('Data Sheet'!I31/HistoricalFS!J36,0)</f>
        <v>3.5973725317418994</v>
      </c>
      <c r="K41" s="18">
        <f>IFERROR('Data Sheet'!J31/HistoricalFS!K36,0)</f>
        <v>3.5973725317418994</v>
      </c>
      <c r="L41" s="18">
        <f>IFERROR('Data Sheet'!K31/HistoricalFS!L36,0)</f>
        <v>3.9970841510794255</v>
      </c>
      <c r="M41" s="18">
        <f>IFERROR('Data Sheet'!L31/HistoricalFS!M36,0)</f>
        <v>0</v>
      </c>
    </row>
    <row r="42" spans="1:13" s="15" customFormat="1" x14ac:dyDescent="0.25">
      <c r="B42" s="15" t="s">
        <v>80</v>
      </c>
      <c r="C42" s="17">
        <f>IFERROR(C41/C38,0)</f>
        <v>6.2687239880001083E-3</v>
      </c>
      <c r="D42" s="17">
        <f t="shared" ref="D42:M42" si="16">IFERROR(D41/D38,0)</f>
        <v>6.4956350829991202E-3</v>
      </c>
      <c r="E42" s="17">
        <f t="shared" si="16"/>
        <v>6.8033361312995148E-3</v>
      </c>
      <c r="F42" s="17">
        <f t="shared" si="16"/>
        <v>5.4735376124466712E-3</v>
      </c>
      <c r="G42" s="17">
        <f t="shared" si="16"/>
        <v>1.3992742610173066E-2</v>
      </c>
      <c r="H42" s="17">
        <f t="shared" si="16"/>
        <v>1.9008043436283335E-2</v>
      </c>
      <c r="I42" s="17">
        <f t="shared" si="16"/>
        <v>1.210595034695091E-2</v>
      </c>
      <c r="J42" s="17">
        <f t="shared" si="16"/>
        <v>1.2222959222417312E-2</v>
      </c>
      <c r="K42" s="17">
        <f t="shared" si="16"/>
        <v>1.2989379541190673E-2</v>
      </c>
      <c r="L42" s="17">
        <f t="shared" si="16"/>
        <v>1.4134514246179447E-2</v>
      </c>
      <c r="M42" s="17">
        <f t="shared" si="16"/>
        <v>0</v>
      </c>
    </row>
    <row r="44" spans="1:13" x14ac:dyDescent="0.25">
      <c r="B44" s="8" t="s">
        <v>81</v>
      </c>
      <c r="C44" s="14">
        <f>IFERROR(1-C42,0)</f>
        <v>0.99373127601199984</v>
      </c>
      <c r="D44" s="14">
        <f t="shared" ref="D44:M44" si="17">IFERROR(1-D42,0)</f>
        <v>0.99350436491700089</v>
      </c>
      <c r="E44" s="14">
        <f t="shared" si="17"/>
        <v>0.99319666386870054</v>
      </c>
      <c r="F44" s="14">
        <f t="shared" si="17"/>
        <v>0.99452646238755338</v>
      </c>
      <c r="G44" s="14">
        <f t="shared" si="17"/>
        <v>0.98600725738982697</v>
      </c>
      <c r="H44" s="14">
        <f t="shared" si="17"/>
        <v>0.98099195656371663</v>
      </c>
      <c r="I44" s="14">
        <f t="shared" si="17"/>
        <v>0.98789404965304906</v>
      </c>
      <c r="J44" s="14">
        <f t="shared" si="17"/>
        <v>0.98777704077758266</v>
      </c>
      <c r="K44" s="14">
        <f t="shared" si="17"/>
        <v>0.98701062045880927</v>
      </c>
      <c r="L44" s="14">
        <f t="shared" si="17"/>
        <v>0.9858654857538206</v>
      </c>
      <c r="M44" s="14">
        <f t="shared" si="17"/>
        <v>1</v>
      </c>
    </row>
    <row r="46" spans="1:13" x14ac:dyDescent="0.25">
      <c r="A46" s="8" t="s">
        <v>56</v>
      </c>
      <c r="B46" s="24" t="s">
        <v>82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8" spans="1:13" x14ac:dyDescent="0.25">
      <c r="B48" s="26" t="s">
        <v>31</v>
      </c>
      <c r="C48" s="18">
        <f>IFERROR('Data Sheet'!B57,0)</f>
        <v>970.24</v>
      </c>
      <c r="D48" s="18">
        <f>IFERROR('Data Sheet'!C57,0)</f>
        <v>1144.95</v>
      </c>
      <c r="E48" s="18">
        <f>IFERROR('Data Sheet'!D57,0)</f>
        <v>1144.94</v>
      </c>
      <c r="F48" s="18">
        <f>IFERROR('Data Sheet'!E57,0)</f>
        <v>1144.95</v>
      </c>
      <c r="G48" s="18">
        <f>IFERROR('Data Sheet'!F57,0)</f>
        <v>1197.6099999999999</v>
      </c>
      <c r="H48" s="18">
        <f>IFERROR('Data Sheet'!G57,0)</f>
        <v>1221.21</v>
      </c>
      <c r="I48" s="18">
        <f>IFERROR('Data Sheet'!H57,0)</f>
        <v>1221.24</v>
      </c>
      <c r="J48" s="18">
        <f>IFERROR('Data Sheet'!I57,0)</f>
        <v>1247.44</v>
      </c>
      <c r="K48" s="18">
        <f>IFERROR('Data Sheet'!J57,0)</f>
        <v>1247.44</v>
      </c>
      <c r="L48" s="18">
        <f>IFERROR('Data Sheet'!K57,0)</f>
        <v>1247.44</v>
      </c>
    </row>
    <row r="49" spans="2:12" x14ac:dyDescent="0.25">
      <c r="B49" s="26" t="s">
        <v>32</v>
      </c>
      <c r="C49" s="18">
        <f>IFERROR('Data Sheet'!B58,0)</f>
        <v>36849.08</v>
      </c>
      <c r="D49" s="18">
        <f>IFERROR('Data Sheet'!C58,0)</f>
        <v>59725.67</v>
      </c>
      <c r="E49" s="18">
        <f>IFERROR('Data Sheet'!D58,0)</f>
        <v>67780.14</v>
      </c>
      <c r="F49" s="18">
        <f>IFERROR('Data Sheet'!E58,0)</f>
        <v>72431.350000000006</v>
      </c>
      <c r="G49" s="18">
        <f>IFERROR('Data Sheet'!F58,0)</f>
        <v>73041.16</v>
      </c>
      <c r="H49" s="18">
        <f>IFERROR('Data Sheet'!G58,0)</f>
        <v>113221.83</v>
      </c>
      <c r="I49" s="18">
        <f>IFERROR('Data Sheet'!H58,0)</f>
        <v>101860.86</v>
      </c>
      <c r="J49" s="18">
        <f>IFERROR('Data Sheet'!I58,0)</f>
        <v>90788.32</v>
      </c>
      <c r="K49" s="18">
        <f>IFERROR('Data Sheet'!J58,0)</f>
        <v>89922.19</v>
      </c>
      <c r="L49" s="18">
        <f>IFERROR('Data Sheet'!K58,0)</f>
        <v>100920.21</v>
      </c>
    </row>
    <row r="50" spans="2:12" x14ac:dyDescent="0.25">
      <c r="B50" s="26" t="s">
        <v>33</v>
      </c>
      <c r="C50" s="18">
        <f>IFERROR('Data Sheet'!B59,0)</f>
        <v>83014.490000000005</v>
      </c>
      <c r="D50" s="18">
        <f>IFERROR('Data Sheet'!C59,0)</f>
        <v>92147.05</v>
      </c>
      <c r="E50" s="18">
        <f>IFERROR('Data Sheet'!D59,0)</f>
        <v>100816.22</v>
      </c>
      <c r="F50" s="18">
        <f>IFERROR('Data Sheet'!E59,0)</f>
        <v>116328.2</v>
      </c>
      <c r="G50" s="18">
        <f>IFERROR('Data Sheet'!F59,0)</f>
        <v>88501.41</v>
      </c>
      <c r="H50" s="18">
        <f>IFERROR('Data Sheet'!G59,0)</f>
        <v>75561.350000000006</v>
      </c>
      <c r="I50" s="18">
        <f>IFERROR('Data Sheet'!H59,0)</f>
        <v>84893.05</v>
      </c>
      <c r="J50" s="18">
        <f>IFERROR('Data Sheet'!I59,0)</f>
        <v>87082.12</v>
      </c>
      <c r="K50" s="18">
        <f>IFERROR('Data Sheet'!J59,0)</f>
        <v>94801.05</v>
      </c>
      <c r="L50" s="18">
        <f>IFERROR('Data Sheet'!K59,0)</f>
        <v>92381.68</v>
      </c>
    </row>
    <row r="51" spans="2:12" x14ac:dyDescent="0.25">
      <c r="B51" s="26" t="s">
        <v>34</v>
      </c>
      <c r="C51" s="18">
        <f>IFERROR('Data Sheet'!B60,0)</f>
        <v>51613.56</v>
      </c>
      <c r="D51" s="18">
        <f>IFERROR('Data Sheet'!C60,0)</f>
        <v>55704.47</v>
      </c>
      <c r="E51" s="18">
        <f>IFERROR('Data Sheet'!D60,0)</f>
        <v>63032.14</v>
      </c>
      <c r="F51" s="18">
        <f>IFERROR('Data Sheet'!E60,0)</f>
        <v>59244.62</v>
      </c>
      <c r="G51" s="18">
        <f>IFERROR('Data Sheet'!F60,0)</f>
        <v>81169.009999999995</v>
      </c>
      <c r="H51" s="18">
        <f>IFERROR('Data Sheet'!G60,0)</f>
        <v>92417.279999999999</v>
      </c>
      <c r="I51" s="18">
        <f>IFERROR('Data Sheet'!H60,0)</f>
        <v>97420.63</v>
      </c>
      <c r="J51" s="18">
        <f>IFERROR('Data Sheet'!I60,0)</f>
        <v>90194.54</v>
      </c>
      <c r="K51" s="18">
        <f>IFERROR('Data Sheet'!J60,0)</f>
        <v>89487.9</v>
      </c>
      <c r="L51" s="18">
        <f>IFERROR('Data Sheet'!K60,0)</f>
        <v>101965.29</v>
      </c>
    </row>
    <row r="52" spans="2:12" s="12" customFormat="1" x14ac:dyDescent="0.25">
      <c r="B52" s="45" t="s">
        <v>83</v>
      </c>
      <c r="C52" s="44">
        <f>IFERROR('Data Sheet'!B61,0)</f>
        <v>172447.37</v>
      </c>
      <c r="D52" s="44">
        <f>IFERROR('Data Sheet'!C61,0)</f>
        <v>208722.14</v>
      </c>
      <c r="E52" s="44">
        <f>IFERROR('Data Sheet'!D61,0)</f>
        <v>232773.44</v>
      </c>
      <c r="F52" s="44">
        <f>IFERROR('Data Sheet'!E61,0)</f>
        <v>249149.12</v>
      </c>
      <c r="G52" s="44">
        <f>IFERROR('Data Sheet'!F61,0)</f>
        <v>243909.19</v>
      </c>
      <c r="H52" s="44">
        <f>IFERROR('Data Sheet'!G61,0)</f>
        <v>282421.67</v>
      </c>
      <c r="I52" s="44">
        <f>IFERROR('Data Sheet'!H61,0)</f>
        <v>285395.78000000003</v>
      </c>
      <c r="J52" s="44">
        <f>IFERROR('Data Sheet'!I61,0)</f>
        <v>269312.42</v>
      </c>
      <c r="K52" s="44">
        <f>IFERROR('Data Sheet'!J61,0)</f>
        <v>275458.58</v>
      </c>
      <c r="L52" s="44">
        <f>IFERROR('Data Sheet'!K61,0)</f>
        <v>296514.62</v>
      </c>
    </row>
    <row r="53" spans="2:12" x14ac:dyDescent="0.25">
      <c r="B53" s="27"/>
    </row>
    <row r="54" spans="2:12" x14ac:dyDescent="0.25">
      <c r="B54" s="26" t="s">
        <v>84</v>
      </c>
      <c r="C54" s="18">
        <f>IFERROR('Data Sheet'!B62,0)</f>
        <v>92006.55</v>
      </c>
      <c r="D54" s="18">
        <f>IFERROR('Data Sheet'!C62,0)</f>
        <v>96104.89</v>
      </c>
      <c r="E54" s="18">
        <f>IFERROR('Data Sheet'!D62,0)</f>
        <v>124441.91</v>
      </c>
      <c r="F54" s="18">
        <f>IFERROR('Data Sheet'!E62,0)</f>
        <v>134550.66</v>
      </c>
      <c r="G54" s="18">
        <f>IFERROR('Data Sheet'!F62,0)</f>
        <v>135775.18</v>
      </c>
      <c r="H54" s="18">
        <f>IFERROR('Data Sheet'!G62,0)</f>
        <v>133287.82999999999</v>
      </c>
      <c r="I54" s="18">
        <f>IFERROR('Data Sheet'!H62,0)</f>
        <v>146621.46</v>
      </c>
      <c r="J54" s="18">
        <f>IFERROR('Data Sheet'!I62,0)</f>
        <v>148814.38</v>
      </c>
      <c r="K54" s="18">
        <f>IFERROR('Data Sheet'!J62,0)</f>
        <v>150914.06</v>
      </c>
      <c r="L54" s="18">
        <f>IFERROR('Data Sheet'!K62,0)</f>
        <v>179908.13</v>
      </c>
    </row>
    <row r="55" spans="2:12" x14ac:dyDescent="0.25">
      <c r="B55" s="26" t="s">
        <v>37</v>
      </c>
      <c r="C55" s="18">
        <f>IFERROR('Data Sheet'!B63,0)</f>
        <v>15784.13</v>
      </c>
      <c r="D55" s="18">
        <f>IFERROR('Data Sheet'!C63,0)</f>
        <v>16614.41</v>
      </c>
      <c r="E55" s="18">
        <f>IFERROR('Data Sheet'!D63,0)</f>
        <v>18641.21</v>
      </c>
      <c r="F55" s="18">
        <f>IFERROR('Data Sheet'!E63,0)</f>
        <v>19496.830000000002</v>
      </c>
      <c r="G55" s="18">
        <f>IFERROR('Data Sheet'!F63,0)</f>
        <v>19007.400000000001</v>
      </c>
      <c r="H55" s="18">
        <f>IFERROR('Data Sheet'!G63,0)</f>
        <v>22045.55</v>
      </c>
      <c r="I55" s="18">
        <f>IFERROR('Data Sheet'!H63,0)</f>
        <v>31213.02</v>
      </c>
      <c r="J55" s="18">
        <f>IFERROR('Data Sheet'!I63,0)</f>
        <v>34355.53</v>
      </c>
      <c r="K55" s="18">
        <f>IFERROR('Data Sheet'!J63,0)</f>
        <v>41622.35</v>
      </c>
      <c r="L55" s="18">
        <f>IFERROR('Data Sheet'!K63,0)</f>
        <v>28496.71</v>
      </c>
    </row>
    <row r="56" spans="2:12" x14ac:dyDescent="0.25">
      <c r="B56" s="26" t="s">
        <v>38</v>
      </c>
      <c r="C56" s="18">
        <f>IFERROR('Data Sheet'!B64,0)</f>
        <v>12457.12</v>
      </c>
      <c r="D56" s="18">
        <f>IFERROR('Data Sheet'!C64,0)</f>
        <v>17899.47</v>
      </c>
      <c r="E56" s="18">
        <f>IFERROR('Data Sheet'!D64,0)</f>
        <v>5738.17</v>
      </c>
      <c r="F56" s="18">
        <f>IFERROR('Data Sheet'!E64,0)</f>
        <v>6285.18</v>
      </c>
      <c r="G56" s="18">
        <f>IFERROR('Data Sheet'!F64,0)</f>
        <v>10681.93</v>
      </c>
      <c r="H56" s="18">
        <f>IFERROR('Data Sheet'!G64,0)</f>
        <v>13139.85</v>
      </c>
      <c r="I56" s="18">
        <f>IFERROR('Data Sheet'!H64,0)</f>
        <v>8410.31</v>
      </c>
      <c r="J56" s="18">
        <f>IFERROR('Data Sheet'!I64,0)</f>
        <v>6257.57</v>
      </c>
      <c r="K56" s="18">
        <f>IFERROR('Data Sheet'!J64,0)</f>
        <v>6194.11</v>
      </c>
      <c r="L56" s="18">
        <f>IFERROR('Data Sheet'!K64,0)</f>
        <v>7088.85</v>
      </c>
    </row>
    <row r="57" spans="2:12" x14ac:dyDescent="0.25">
      <c r="B57" s="26" t="s">
        <v>39</v>
      </c>
      <c r="C57" s="18">
        <f>IFERROR('Data Sheet'!B65-SUM('Data Sheet'!B67:B69),0)</f>
        <v>10887.879999999997</v>
      </c>
      <c r="D57" s="18">
        <f>IFERROR('Data Sheet'!C65-SUM('Data Sheet'!C67:C69),0)</f>
        <v>29418.959999999999</v>
      </c>
      <c r="E57" s="18">
        <f>IFERROR('Data Sheet'!D65-SUM('Data Sheet'!D67:D69),0)</f>
        <v>37143.679999999993</v>
      </c>
      <c r="F57" s="18">
        <f>IFERROR('Data Sheet'!E65-SUM('Data Sheet'!E67:E69),0)</f>
        <v>41808.099999999991</v>
      </c>
      <c r="G57" s="18">
        <f>IFERROR('Data Sheet'!F65-SUM('Data Sheet'!F67:F69),0)</f>
        <v>29846.279999999992</v>
      </c>
      <c r="H57" s="18">
        <f>IFERROR('Data Sheet'!G65-SUM('Data Sheet'!G67:G69),0)</f>
        <v>36978.69</v>
      </c>
      <c r="I57" s="18">
        <f>IFERROR('Data Sheet'!H65-SUM('Data Sheet'!H67:H69),0)</f>
        <v>23121.160000000003</v>
      </c>
      <c r="J57" s="18">
        <f>IFERROR('Data Sheet'!I65-SUM('Data Sheet'!I67:I69),0)</f>
        <v>15786.18</v>
      </c>
      <c r="K57" s="18">
        <f>IFERROR('Data Sheet'!J65-SUM('Data Sheet'!J67:J69),0)</f>
        <v>15231.080000000002</v>
      </c>
      <c r="L57" s="18">
        <f>IFERROR('Data Sheet'!K65-SUM('Data Sheet'!K67:K69),0)</f>
        <v>18797.289999999994</v>
      </c>
    </row>
    <row r="58" spans="2:12" s="12" customFormat="1" x14ac:dyDescent="0.25">
      <c r="B58" s="45" t="s">
        <v>85</v>
      </c>
      <c r="C58" s="44">
        <f>IFERROR(SUM(C54:C57),0)</f>
        <v>131135.67999999999</v>
      </c>
      <c r="D58" s="44">
        <f t="shared" ref="D58:L58" si="18">IFERROR(SUM(D54:D57),0)</f>
        <v>160037.73000000001</v>
      </c>
      <c r="E58" s="44">
        <f t="shared" si="18"/>
        <v>185964.97</v>
      </c>
      <c r="F58" s="44">
        <f t="shared" si="18"/>
        <v>202140.76999999996</v>
      </c>
      <c r="G58" s="44">
        <f t="shared" si="18"/>
        <v>195310.78999999998</v>
      </c>
      <c r="H58" s="44">
        <f t="shared" si="18"/>
        <v>205451.91999999998</v>
      </c>
      <c r="I58" s="44">
        <f t="shared" si="18"/>
        <v>209365.94999999998</v>
      </c>
      <c r="J58" s="44">
        <f t="shared" si="18"/>
        <v>205213.66</v>
      </c>
      <c r="K58" s="44">
        <f t="shared" si="18"/>
        <v>213961.59999999998</v>
      </c>
      <c r="L58" s="44">
        <f t="shared" si="18"/>
        <v>234290.97999999998</v>
      </c>
    </row>
    <row r="59" spans="2:12" x14ac:dyDescent="0.25">
      <c r="B59" s="27"/>
    </row>
    <row r="60" spans="2:12" x14ac:dyDescent="0.25">
      <c r="B60" s="26" t="s">
        <v>40</v>
      </c>
      <c r="C60" s="18">
        <f>IFERROR('Data Sheet'!B67,0)</f>
        <v>11586.82</v>
      </c>
      <c r="D60" s="18">
        <f>IFERROR('Data Sheet'!C67,0)</f>
        <v>12415.52</v>
      </c>
      <c r="E60" s="18">
        <f>IFERROR('Data Sheet'!D67,0)</f>
        <v>11811</v>
      </c>
      <c r="F60" s="18">
        <f>IFERROR('Data Sheet'!E67,0)</f>
        <v>7884.91</v>
      </c>
      <c r="G60" s="18">
        <f>IFERROR('Data Sheet'!F67,0)</f>
        <v>9539.84</v>
      </c>
      <c r="H60" s="18">
        <f>IFERROR('Data Sheet'!G67,0)</f>
        <v>12246.43</v>
      </c>
      <c r="I60" s="18">
        <f>IFERROR('Data Sheet'!H67,0)</f>
        <v>8257.24</v>
      </c>
      <c r="J60" s="18">
        <f>IFERROR('Data Sheet'!I67,0)</f>
        <v>6263.53</v>
      </c>
      <c r="K60" s="18">
        <f>IFERROR('Data Sheet'!J67,0)</f>
        <v>5260.06</v>
      </c>
      <c r="L60" s="18">
        <f>IFERROR('Data Sheet'!K67,0)</f>
        <v>4916.8900000000003</v>
      </c>
    </row>
    <row r="61" spans="2:12" x14ac:dyDescent="0.25">
      <c r="B61" s="26" t="s">
        <v>41</v>
      </c>
      <c r="C61" s="18">
        <f>IFERROR('Data Sheet'!B68,0)</f>
        <v>24803.82</v>
      </c>
      <c r="D61" s="18">
        <f>IFERROR('Data Sheet'!C68,0)</f>
        <v>28331.040000000001</v>
      </c>
      <c r="E61" s="18">
        <f>IFERROR('Data Sheet'!D68,0)</f>
        <v>31656.1</v>
      </c>
      <c r="F61" s="18">
        <f>IFERROR('Data Sheet'!E68,0)</f>
        <v>31068.720000000001</v>
      </c>
      <c r="G61" s="18">
        <f>IFERROR('Data Sheet'!F68,0)</f>
        <v>33276.379999999997</v>
      </c>
      <c r="H61" s="18">
        <f>IFERROR('Data Sheet'!G68,0)</f>
        <v>48824.39</v>
      </c>
      <c r="I61" s="18">
        <f>IFERROR('Data Sheet'!H68,0)</f>
        <v>54415.33</v>
      </c>
      <c r="J61" s="18">
        <f>IFERROR('Data Sheet'!I68,0)</f>
        <v>49157.51</v>
      </c>
      <c r="K61" s="18">
        <f>IFERROR('Data Sheet'!J68,0)</f>
        <v>44589.94</v>
      </c>
      <c r="L61" s="18">
        <f>IFERROR('Data Sheet'!K68,0)</f>
        <v>47249.22</v>
      </c>
    </row>
    <row r="62" spans="2:12" x14ac:dyDescent="0.25">
      <c r="B62" s="28" t="s">
        <v>42</v>
      </c>
      <c r="C62" s="18">
        <f>IFERROR('Data Sheet'!B69,0)</f>
        <v>4921.05</v>
      </c>
      <c r="D62" s="18">
        <f>IFERROR('Data Sheet'!C69,0)</f>
        <v>7937.85</v>
      </c>
      <c r="E62" s="18">
        <f>IFERROR('Data Sheet'!D69,0)</f>
        <v>3341.37</v>
      </c>
      <c r="F62" s="18">
        <f>IFERROR('Data Sheet'!E69,0)</f>
        <v>8054.72</v>
      </c>
      <c r="G62" s="18">
        <f>IFERROR('Data Sheet'!F69,0)</f>
        <v>5782.18</v>
      </c>
      <c r="H62" s="18">
        <f>IFERROR('Data Sheet'!G69,0)</f>
        <v>15898.93</v>
      </c>
      <c r="I62" s="18">
        <f>IFERROR('Data Sheet'!H69,0)</f>
        <v>13357.26</v>
      </c>
      <c r="J62" s="18">
        <f>IFERROR('Data Sheet'!I69,0)</f>
        <v>8677.7199999999993</v>
      </c>
      <c r="K62" s="18">
        <f>IFERROR('Data Sheet'!J69,0)</f>
        <v>11646.98</v>
      </c>
      <c r="L62" s="18">
        <f>IFERROR('Data Sheet'!K69,0)</f>
        <v>10057.530000000001</v>
      </c>
    </row>
    <row r="63" spans="2:12" s="12" customFormat="1" x14ac:dyDescent="0.25">
      <c r="B63" s="43" t="s">
        <v>86</v>
      </c>
      <c r="C63" s="44">
        <f>IFERROR(SUM(C60:C62),0)</f>
        <v>41311.69</v>
      </c>
      <c r="D63" s="44">
        <f t="shared" ref="D63:L63" si="19">IFERROR(SUM(D60:D62),0)</f>
        <v>48684.409999999996</v>
      </c>
      <c r="E63" s="44">
        <f t="shared" si="19"/>
        <v>46808.47</v>
      </c>
      <c r="F63" s="44">
        <f t="shared" si="19"/>
        <v>47008.350000000006</v>
      </c>
      <c r="G63" s="44">
        <f t="shared" si="19"/>
        <v>48598.400000000001</v>
      </c>
      <c r="H63" s="44">
        <f t="shared" si="19"/>
        <v>76969.75</v>
      </c>
      <c r="I63" s="44">
        <f t="shared" si="19"/>
        <v>76029.83</v>
      </c>
      <c r="J63" s="44">
        <f t="shared" si="19"/>
        <v>64098.76</v>
      </c>
      <c r="K63" s="44">
        <f t="shared" si="19"/>
        <v>61496.979999999996</v>
      </c>
      <c r="L63" s="44">
        <f t="shared" si="19"/>
        <v>62223.64</v>
      </c>
    </row>
    <row r="65" spans="1:13" x14ac:dyDescent="0.25">
      <c r="B65" s="43" t="s">
        <v>87</v>
      </c>
      <c r="C65" s="44">
        <f>IFERROR(C63+C58,0)</f>
        <v>172447.37</v>
      </c>
      <c r="D65" s="44">
        <f t="shared" ref="D65:L65" si="20">IFERROR(D63+D58,0)</f>
        <v>208722.14</v>
      </c>
      <c r="E65" s="44">
        <f t="shared" si="20"/>
        <v>232773.44</v>
      </c>
      <c r="F65" s="44">
        <f t="shared" si="20"/>
        <v>249149.11999999997</v>
      </c>
      <c r="G65" s="44">
        <f t="shared" si="20"/>
        <v>243909.18999999997</v>
      </c>
      <c r="H65" s="44">
        <f t="shared" si="20"/>
        <v>282421.67</v>
      </c>
      <c r="I65" s="44">
        <f t="shared" si="20"/>
        <v>285395.77999999997</v>
      </c>
      <c r="J65" s="44">
        <f t="shared" si="20"/>
        <v>269312.42</v>
      </c>
      <c r="K65" s="44">
        <f t="shared" si="20"/>
        <v>275458.57999999996</v>
      </c>
      <c r="L65" s="44">
        <f t="shared" si="20"/>
        <v>296514.62</v>
      </c>
    </row>
    <row r="67" spans="1:13" x14ac:dyDescent="0.25">
      <c r="B67" s="8" t="s">
        <v>88</v>
      </c>
      <c r="C67" s="8" t="b">
        <f>C65=C52</f>
        <v>1</v>
      </c>
      <c r="D67" s="8" t="b">
        <f t="shared" ref="D67:L67" si="21">D65=D52</f>
        <v>1</v>
      </c>
      <c r="E67" s="8" t="b">
        <f t="shared" si="21"/>
        <v>1</v>
      </c>
      <c r="F67" s="8" t="b">
        <f t="shared" si="21"/>
        <v>1</v>
      </c>
      <c r="G67" s="8" t="b">
        <f t="shared" si="21"/>
        <v>1</v>
      </c>
      <c r="H67" s="8" t="b">
        <f t="shared" si="21"/>
        <v>1</v>
      </c>
      <c r="I67" s="8" t="b">
        <f t="shared" si="21"/>
        <v>1</v>
      </c>
      <c r="J67" s="8" t="b">
        <f t="shared" si="21"/>
        <v>1</v>
      </c>
      <c r="K67" s="8" t="b">
        <f t="shared" si="21"/>
        <v>1</v>
      </c>
      <c r="L67" s="8" t="b">
        <f t="shared" si="21"/>
        <v>1</v>
      </c>
    </row>
    <row r="69" spans="1:13" x14ac:dyDescent="0.25">
      <c r="A69" s="8" t="s">
        <v>56</v>
      </c>
      <c r="B69" s="24" t="s">
        <v>116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1" spans="1:13" x14ac:dyDescent="0.25">
      <c r="B71" s="26" t="s">
        <v>47</v>
      </c>
      <c r="C71" s="13">
        <f>IFERROR('Data Sheet'!B82,0)</f>
        <v>10824.36</v>
      </c>
      <c r="D71" s="13">
        <f>IFERROR('Data Sheet'!C82,0)</f>
        <v>8023.39</v>
      </c>
      <c r="E71" s="13">
        <f>IFERROR('Data Sheet'!D82,0)</f>
        <v>25335.95</v>
      </c>
      <c r="F71" s="13">
        <f>IFERROR('Data Sheet'!E82,0)</f>
        <v>20168.72</v>
      </c>
      <c r="G71" s="13">
        <f>IFERROR('Data Sheet'!F82,0)</f>
        <v>44326.68</v>
      </c>
      <c r="H71" s="13">
        <f>IFERROR('Data Sheet'!G82,0)</f>
        <v>44380.99</v>
      </c>
      <c r="I71" s="13">
        <f>IFERROR('Data Sheet'!H82,0)</f>
        <v>21683.08</v>
      </c>
      <c r="J71" s="13">
        <f>IFERROR('Data Sheet'!I82,0)</f>
        <v>20300.669999999998</v>
      </c>
      <c r="K71" s="13">
        <f>IFERROR('Data Sheet'!J82,0)</f>
        <v>23137.58</v>
      </c>
      <c r="L71" s="13">
        <f>IFERROR('Data Sheet'!K82,0)</f>
        <v>35064.46</v>
      </c>
    </row>
    <row r="72" spans="1:13" x14ac:dyDescent="0.25">
      <c r="B72" s="26"/>
    </row>
    <row r="73" spans="1:13" x14ac:dyDescent="0.25">
      <c r="B73" s="26" t="s">
        <v>48</v>
      </c>
      <c r="C73" s="13">
        <f>IFERROR('Data Sheet'!B83,0)</f>
        <v>-9489.65</v>
      </c>
      <c r="D73" s="13">
        <f>IFERROR('Data Sheet'!C83,0)</f>
        <v>-11730.31</v>
      </c>
      <c r="E73" s="13">
        <f>IFERROR('Data Sheet'!D83,0)</f>
        <v>-29176.45</v>
      </c>
      <c r="F73" s="13">
        <f>IFERROR('Data Sheet'!E83,0)</f>
        <v>-14012.06</v>
      </c>
      <c r="G73" s="13">
        <f>IFERROR('Data Sheet'!F83,0)</f>
        <v>-9437.27</v>
      </c>
      <c r="H73" s="13">
        <f>IFERROR('Data Sheet'!G83,0)</f>
        <v>-10905.02</v>
      </c>
      <c r="I73" s="13">
        <f>IFERROR('Data Sheet'!H83,0)</f>
        <v>-18179.45</v>
      </c>
      <c r="J73" s="13">
        <f>IFERROR('Data Sheet'!I83,0)</f>
        <v>-14252.74</v>
      </c>
      <c r="K73" s="13">
        <f>IFERROR('Data Sheet'!J83,0)</f>
        <v>-13611.02</v>
      </c>
      <c r="L73" s="13">
        <f>IFERROR('Data Sheet'!K83,0)</f>
        <v>-14397.35</v>
      </c>
    </row>
    <row r="74" spans="1:13" x14ac:dyDescent="0.25">
      <c r="B74" s="26"/>
    </row>
    <row r="75" spans="1:13" x14ac:dyDescent="0.25">
      <c r="B75" s="26" t="s">
        <v>49</v>
      </c>
      <c r="C75" s="13">
        <f>IFERROR('Data Sheet'!B84,0)</f>
        <v>-2579.36</v>
      </c>
      <c r="D75" s="13">
        <f>IFERROR('Data Sheet'!C84,0)</f>
        <v>6639.94</v>
      </c>
      <c r="E75" s="13">
        <f>IFERROR('Data Sheet'!D84,0)</f>
        <v>-672.7</v>
      </c>
      <c r="F75" s="13">
        <f>IFERROR('Data Sheet'!E84,0)</f>
        <v>-1694.62</v>
      </c>
      <c r="G75" s="13">
        <f>IFERROR('Data Sheet'!F84,0)</f>
        <v>-37089.67</v>
      </c>
      <c r="H75" s="13">
        <f>IFERROR('Data Sheet'!G84,0)</f>
        <v>-23401.09</v>
      </c>
      <c r="I75" s="13">
        <f>IFERROR('Data Sheet'!H84,0)</f>
        <v>-6980.69</v>
      </c>
      <c r="J75" s="13">
        <f>IFERROR('Data Sheet'!I84,0)</f>
        <v>-11096.99</v>
      </c>
      <c r="K75" s="13">
        <f>IFERROR('Data Sheet'!J84,0)</f>
        <v>-7002.44</v>
      </c>
      <c r="L75" s="13">
        <f>IFERROR('Data Sheet'!K84,0)</f>
        <v>-21387.119999999999</v>
      </c>
    </row>
    <row r="76" spans="1:13" x14ac:dyDescent="0.25">
      <c r="B76" s="26"/>
    </row>
    <row r="77" spans="1:13" x14ac:dyDescent="0.25">
      <c r="B77" s="27" t="s">
        <v>50</v>
      </c>
      <c r="C77" s="42">
        <f>IFERROR('Data Sheet'!B85,0)</f>
        <v>-1244.6500000000001</v>
      </c>
      <c r="D77" s="42">
        <f>IFERROR('Data Sheet'!C85,0)</f>
        <v>2933.02</v>
      </c>
      <c r="E77" s="42">
        <f>IFERROR('Data Sheet'!D85,0)</f>
        <v>-4513.2</v>
      </c>
      <c r="F77" s="42">
        <f>IFERROR('Data Sheet'!E85,0)</f>
        <v>4462.04</v>
      </c>
      <c r="G77" s="42">
        <f>IFERROR('Data Sheet'!F85,0)</f>
        <v>-2200.2600000000002</v>
      </c>
      <c r="H77" s="42">
        <f>IFERROR('Data Sheet'!G85,0)</f>
        <v>10074.879999999999</v>
      </c>
      <c r="I77" s="42">
        <f>IFERROR('Data Sheet'!H85,0)</f>
        <v>-3477.06</v>
      </c>
      <c r="J77" s="42">
        <f>IFERROR('Data Sheet'!I85,0)</f>
        <v>-5049.0600000000004</v>
      </c>
      <c r="K77" s="42">
        <f>IFERROR('Data Sheet'!J85,0)</f>
        <v>2524.12</v>
      </c>
      <c r="L77" s="42">
        <f>IFERROR('Data Sheet'!K85,0)</f>
        <v>-720.01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6 M9 C15:L15 M24 M21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526F-63F2-40F2-9655-384736490758}">
  <dimension ref="B2:P41"/>
  <sheetViews>
    <sheetView workbookViewId="0">
      <pane ySplit="3" topLeftCell="A4" activePane="bottomLeft" state="frozen"/>
      <selection pane="bottomLeft" activeCell="L18" sqref="L18"/>
    </sheetView>
  </sheetViews>
  <sheetFormatPr defaultRowHeight="15" x14ac:dyDescent="0.25"/>
  <cols>
    <col min="1" max="1" width="2.140625" style="8" customWidth="1"/>
    <col min="2" max="2" width="26.7109375" style="8" customWidth="1"/>
    <col min="3" max="12" width="10.5703125" style="8" bestFit="1" customWidth="1"/>
    <col min="13" max="13" width="13.5703125" style="8" customWidth="1"/>
    <col min="14" max="16384" width="9.140625" style="8"/>
  </cols>
  <sheetData>
    <row r="2" spans="2:16" x14ac:dyDescent="0.25">
      <c r="B2" s="73" t="str">
        <f>"Ratio Analysis -"&amp;'Data Sheet'!B1</f>
        <v>Ratio Analysis -TATA STEEL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2:16" x14ac:dyDescent="0.25">
      <c r="B3" s="10" t="s">
        <v>54</v>
      </c>
      <c r="C3" s="9">
        <f>'Data Sheet'!B16</f>
        <v>42825</v>
      </c>
      <c r="D3" s="9">
        <f>'Data Sheet'!C16</f>
        <v>43190</v>
      </c>
      <c r="E3" s="9">
        <f>'Data Sheet'!D16</f>
        <v>43555</v>
      </c>
      <c r="F3" s="9">
        <f>'Data Sheet'!E16</f>
        <v>43921</v>
      </c>
      <c r="G3" s="9">
        <f>'Data Sheet'!F16</f>
        <v>44286</v>
      </c>
      <c r="H3" s="9">
        <f>'Data Sheet'!G16</f>
        <v>44651</v>
      </c>
      <c r="I3" s="9">
        <f>'Data Sheet'!H16</f>
        <v>45016</v>
      </c>
      <c r="J3" s="9">
        <f>'Data Sheet'!I16</f>
        <v>45382</v>
      </c>
      <c r="K3" s="9">
        <f>'Data Sheet'!J16</f>
        <v>45747</v>
      </c>
      <c r="L3" s="9">
        <f>'Data Sheet'!K16</f>
        <v>46112</v>
      </c>
      <c r="M3" s="9" t="s">
        <v>151</v>
      </c>
      <c r="N3" s="9" t="s">
        <v>149</v>
      </c>
      <c r="O3" s="9" t="s">
        <v>150</v>
      </c>
    </row>
    <row r="5" spans="2:16" x14ac:dyDescent="0.25">
      <c r="B5" s="46" t="s">
        <v>118</v>
      </c>
      <c r="C5" s="46"/>
      <c r="D5" s="47">
        <f>IFERROR(HistoricalFS!D7,0)</f>
        <v>9.7504065470685575E-2</v>
      </c>
      <c r="E5" s="47">
        <f>IFERROR(HistoricalFS!E7,0)</f>
        <v>0.27927123506895413</v>
      </c>
      <c r="F5" s="47">
        <f>IFERROR(HistoricalFS!F7,0)</f>
        <v>-0.11322670361495935</v>
      </c>
      <c r="G5" s="47">
        <f>IFERROR(HistoricalFS!G7,0)</f>
        <v>0.11916141604022124</v>
      </c>
      <c r="H5" s="47">
        <f>IFERROR(HistoricalFS!H7,0)</f>
        <v>0.55906968035000593</v>
      </c>
      <c r="I5" s="47">
        <f>IFERROR(HistoricalFS!I7,0)</f>
        <v>-2.4859897662383723E-3</v>
      </c>
      <c r="J5" s="47">
        <f>IFERROR(HistoricalFS!J7,0)</f>
        <v>-5.8277186087402622E-2</v>
      </c>
      <c r="K5" s="47">
        <f>IFERROR(HistoricalFS!K7,0)</f>
        <v>-4.6377073028245563E-2</v>
      </c>
      <c r="L5" s="47">
        <f>IFERROR(HistoricalFS!L7,0)</f>
        <v>6.2218696033096599E-2</v>
      </c>
      <c r="M5" s="58"/>
      <c r="N5" s="57">
        <f>IFERROR(AVERAGE(D5:L5),0)</f>
        <v>9.9650904496235287E-2</v>
      </c>
      <c r="O5" s="57">
        <f>IFERROR(MEDIAN(C5:L5),0)</f>
        <v>6.2218696033096599E-2</v>
      </c>
    </row>
    <row r="6" spans="2:16" x14ac:dyDescent="0.25">
      <c r="B6" s="8" t="s">
        <v>119</v>
      </c>
      <c r="D6" s="48">
        <f>IFERROR(HistoricalFS!D18/HistoricalFS!C18-1,0)</f>
        <v>0.13402123295603174</v>
      </c>
      <c r="E6" s="48">
        <f>IFERROR(HistoricalFS!E18/HistoricalFS!D18-1,0)</f>
        <v>0.26012142625364221</v>
      </c>
      <c r="F6" s="48">
        <f>IFERROR(HistoricalFS!F18/HistoricalFS!E18-1,0)</f>
        <v>-7.4484428830937421E-2</v>
      </c>
      <c r="G6" s="48">
        <f>IFERROR(HistoricalFS!G18/HistoricalFS!F18-1,0)</f>
        <v>6.2352825847067805E-2</v>
      </c>
      <c r="H6" s="48">
        <f>IFERROR(HistoricalFS!H18/HistoricalFS!G18-1,0)</f>
        <v>0.48310404800330042</v>
      </c>
      <c r="I6" s="48">
        <f>IFERROR(HistoricalFS!I18/HistoricalFS!H18-1,0)</f>
        <v>0.10909185628653395</v>
      </c>
      <c r="J6" s="48">
        <f>IFERROR(HistoricalFS!J18/HistoricalFS!I18-1,0)</f>
        <v>-1.0316771788319024E-3</v>
      </c>
      <c r="K6" s="48">
        <f>IFERROR(HistoricalFS!K18/HistoricalFS!J18-1,0)</f>
        <v>-5.1032768372050841E-2</v>
      </c>
      <c r="L6" s="48">
        <f>IFERROR(HistoricalFS!L18/HistoricalFS!K18-1,0)</f>
        <v>2.3040181631777124E-2</v>
      </c>
      <c r="N6" s="48">
        <f t="shared" ref="N6:N9" si="0">IFERROR(AVERAGE(D6:L6),0)</f>
        <v>0.10502029962183701</v>
      </c>
      <c r="O6" s="48">
        <f t="shared" ref="O6:O41" si="1">IFERROR(MEDIAN(C6:L6),0)</f>
        <v>6.2352825847067805E-2</v>
      </c>
    </row>
    <row r="7" spans="2:16" x14ac:dyDescent="0.25">
      <c r="B7" s="8" t="s">
        <v>120</v>
      </c>
      <c r="D7" s="48">
        <f>IFERROR(HistoricalFS!D27/HistoricalFS!C27-1,0)</f>
        <v>0.14029664862043312</v>
      </c>
      <c r="E7" s="48">
        <f>IFERROR(HistoricalFS!E27/HistoricalFS!D27-1,0)</f>
        <v>0.25515052724123799</v>
      </c>
      <c r="F7" s="48">
        <f>IFERROR(HistoricalFS!F27/HistoricalFS!E27-1,0)</f>
        <v>-8.3751407284169854E-2</v>
      </c>
      <c r="G7" s="48">
        <f>IFERROR(HistoricalFS!G27/HistoricalFS!F27-1,0)</f>
        <v>6.2981427636267906E-2</v>
      </c>
      <c r="H7" s="48">
        <f>IFERROR(HistoricalFS!H27/HistoricalFS!G27-1,0)</f>
        <v>0.53051667219962284</v>
      </c>
      <c r="I7" s="48">
        <f>IFERROR(HistoricalFS!I27/HistoricalFS!H27-1,0)</f>
        <v>0.11063254338421169</v>
      </c>
      <c r="J7" s="48">
        <f>IFERROR(HistoricalFS!J27/HistoricalFS!I27-1,0)</f>
        <v>-5.7781024993290853E-3</v>
      </c>
      <c r="K7" s="48">
        <f>IFERROR(HistoricalFS!K27/HistoricalFS!J27-1,0)</f>
        <v>-5.4427448151694757E-2</v>
      </c>
      <c r="L7" s="48">
        <f>IFERROR(HistoricalFS!L27/HistoricalFS!K27-1,0)</f>
        <v>2.0333242963744391E-2</v>
      </c>
      <c r="N7" s="48">
        <f t="shared" si="0"/>
        <v>0.10843934490114714</v>
      </c>
      <c r="O7" s="48">
        <f t="shared" si="1"/>
        <v>6.2981427636267906E-2</v>
      </c>
    </row>
    <row r="8" spans="2:16" x14ac:dyDescent="0.25">
      <c r="B8" s="8" t="s">
        <v>121</v>
      </c>
      <c r="D8" s="48">
        <f>IFERROR(HistoricalFS!D33/HistoricalFS!C33-1,0)</f>
        <v>0.13884567195469644</v>
      </c>
      <c r="E8" s="48">
        <f>IFERROR(HistoricalFS!E33/HistoricalFS!D33-1,0)</f>
        <v>0.24119113704788697</v>
      </c>
      <c r="F8" s="48">
        <f>IFERROR(HistoricalFS!F33/HistoricalFS!E33-1,0)</f>
        <v>-4.3874620642774143E-2</v>
      </c>
      <c r="G8" s="48">
        <f>IFERROR(HistoricalFS!G33/HistoricalFS!F33-1,0)</f>
        <v>2.2900608263270783E-2</v>
      </c>
      <c r="H8" s="48">
        <f>IFERROR(HistoricalFS!H33/HistoricalFS!G33-1,0)</f>
        <v>0.53133846325473755</v>
      </c>
      <c r="I8" s="48">
        <f>IFERROR(HistoricalFS!I33/HistoricalFS!H33-1,0)</f>
        <v>0.10836089673643423</v>
      </c>
      <c r="J8" s="48">
        <f>IFERROR(HistoricalFS!J33/HistoricalFS!I33-1,0)</f>
        <v>1.1675374962265783E-2</v>
      </c>
      <c r="K8" s="48">
        <f>IFERROR(HistoricalFS!K33/HistoricalFS!J33-1,0)</f>
        <v>-5.9003612631608693E-2</v>
      </c>
      <c r="L8" s="48">
        <f>IFERROR(HistoricalFS!L33/HistoricalFS!K33-1,0)</f>
        <v>2.1093228860940227E-2</v>
      </c>
      <c r="N8" s="48">
        <f t="shared" si="0"/>
        <v>0.10805857197842766</v>
      </c>
      <c r="O8" s="48">
        <f t="shared" si="1"/>
        <v>2.2900608263270783E-2</v>
      </c>
    </row>
    <row r="9" spans="2:16" x14ac:dyDescent="0.25">
      <c r="B9" s="49" t="s">
        <v>122</v>
      </c>
      <c r="C9" s="49"/>
      <c r="D9" s="50">
        <f>IFERROR(HistoricalFS!D41/HistoricalFS!C41-1,0)</f>
        <v>0.18021550901743044</v>
      </c>
      <c r="E9" s="50">
        <f>IFERROR(HistoricalFS!E41/HistoricalFS!D41-1,0)</f>
        <v>0.29997535883641424</v>
      </c>
      <c r="F9" s="50">
        <f>IFERROR(HistoricalFS!F41/HistoricalFS!E41-1,0)</f>
        <v>-0.23076147861490703</v>
      </c>
      <c r="G9" s="50">
        <f>IFERROR(HistoricalFS!G41/HistoricalFS!F41-1,0)</f>
        <v>1.4617851486157654</v>
      </c>
      <c r="H9" s="50">
        <f>IFERROR(HistoricalFS!H41/HistoricalFS!G41-1,0)</f>
        <v>1.0381154123780019</v>
      </c>
      <c r="I9" s="50">
        <f>IFERROR(HistoricalFS!I41/HistoricalFS!H41-1,0)</f>
        <v>-0.29459178519120255</v>
      </c>
      <c r="J9" s="50">
        <f>IFERROR(HistoricalFS!J41/HistoricalFS!I41-1,0)</f>
        <v>1.5657976727423417E-5</v>
      </c>
      <c r="K9" s="50">
        <f>IFERROR(HistoricalFS!K41/HistoricalFS!J41-1,0)</f>
        <v>0</v>
      </c>
      <c r="L9" s="50">
        <f>IFERROR(HistoricalFS!L41/HistoricalFS!K41-1,0)</f>
        <v>0.11111210079318079</v>
      </c>
      <c r="M9" s="60"/>
      <c r="N9" s="59">
        <f t="shared" si="0"/>
        <v>0.28509621375682337</v>
      </c>
      <c r="O9" s="59">
        <f t="shared" si="1"/>
        <v>0.11111210079318079</v>
      </c>
    </row>
    <row r="10" spans="2:16" x14ac:dyDescent="0.25">
      <c r="O10" s="14"/>
    </row>
    <row r="11" spans="2:16" x14ac:dyDescent="0.25">
      <c r="B11" s="46" t="s">
        <v>123</v>
      </c>
      <c r="C11" s="47">
        <f>IFERROR(HistoricalFS!C13,0)</f>
        <v>1.6908057940103343</v>
      </c>
      <c r="D11" s="47">
        <f>IFERROR(HistoricalFS!D13,0)</f>
        <v>1.6873078230935128</v>
      </c>
      <c r="E11" s="47">
        <f>IFERROR(HistoricalFS!E13,0)</f>
        <v>1.6696944656016379</v>
      </c>
      <c r="F11" s="47">
        <f>IFERROR(HistoricalFS!F13,0)</f>
        <v>1.7335388167289087</v>
      </c>
      <c r="G11" s="47">
        <f>IFERROR(HistoricalFS!G13,0)</f>
        <v>1.6581125453260344</v>
      </c>
      <c r="H11" s="47">
        <f>IFERROR(HistoricalFS!H13,0)</f>
        <v>1.5886443620873114</v>
      </c>
      <c r="I11" s="47">
        <f>IFERROR(HistoricalFS!I13,0)</f>
        <v>1.7328020906610895</v>
      </c>
      <c r="J11" s="47">
        <f>IFERROR(HistoricalFS!J13,0)</f>
        <v>1.799206774964941</v>
      </c>
      <c r="K11" s="47">
        <f>IFERROR(HistoricalFS!K13,0)</f>
        <v>1.7857280947308602</v>
      </c>
      <c r="L11" s="47">
        <f>IFERROR(HistoricalFS!L13,0)</f>
        <v>1.7385018708973561</v>
      </c>
      <c r="M11" s="58"/>
      <c r="N11" s="57">
        <f>IFERROR(AVERAGE(C11:L11),0)</f>
        <v>1.7084342638101986</v>
      </c>
      <c r="O11" s="57">
        <f t="shared" si="1"/>
        <v>1.7118039423357119</v>
      </c>
    </row>
    <row r="12" spans="2:16" x14ac:dyDescent="0.25">
      <c r="B12" s="8" t="s">
        <v>124</v>
      </c>
      <c r="C12" s="48">
        <f>IFERROR(HistoricalFS!C19,0)</f>
        <v>1.4986525308857339</v>
      </c>
      <c r="D12" s="48">
        <f>IFERROR(HistoricalFS!D19,0)</f>
        <v>1.5485170800883119</v>
      </c>
      <c r="E12" s="48">
        <f>IFERROR(HistoricalFS!E19,0)</f>
        <v>1.5253368465162362</v>
      </c>
      <c r="F12" s="48">
        <f>IFERROR(HistoricalFS!F19,0)</f>
        <v>1.5919773503370305</v>
      </c>
      <c r="G12" s="48">
        <f>IFERROR(HistoricalFS!G19,0)</f>
        <v>1.5111686416057528</v>
      </c>
      <c r="H12" s="48">
        <f>IFERROR(HistoricalFS!H19,0)</f>
        <v>1.4375369862096183</v>
      </c>
      <c r="I12" s="48">
        <f>IFERROR(HistoricalFS!I19,0)</f>
        <v>1.5983340064989624</v>
      </c>
      <c r="J12" s="48">
        <f>IFERROR(HistoricalFS!J19,0)</f>
        <v>1.6954936401577896</v>
      </c>
      <c r="K12" s="48">
        <f>IFERROR(HistoricalFS!K19,0)</f>
        <v>1.6872160478069003</v>
      </c>
      <c r="L12" s="48">
        <f>IFERROR(HistoricalFS!L19,0)</f>
        <v>1.6249853428927397</v>
      </c>
      <c r="N12" s="48">
        <f t="shared" ref="N12:N31" si="2">IFERROR(AVERAGE(C12:L12),0)</f>
        <v>1.5719218472999075</v>
      </c>
      <c r="O12" s="48">
        <f t="shared" si="1"/>
        <v>1.5702472152126712</v>
      </c>
      <c r="P12" s="8" t="s">
        <v>58</v>
      </c>
    </row>
    <row r="13" spans="2:16" x14ac:dyDescent="0.25">
      <c r="B13" s="8" t="s">
        <v>125</v>
      </c>
      <c r="C13" s="48">
        <f>IFERROR((HistoricalFS!C18-HistoricalFS!C24)/HistoricalFS!C6,0)</f>
        <v>1.4481368648208512</v>
      </c>
      <c r="D13" s="48">
        <f>IFERROR((HistoricalFS!D18-HistoricalFS!D24)/HistoricalFS!D6,0)</f>
        <v>1.5019309273489849</v>
      </c>
      <c r="E13" s="48">
        <f>IFERROR((HistoricalFS!E18-HistoricalFS!E24)/HistoricalFS!E6,0)</f>
        <v>1.4787720147125951</v>
      </c>
      <c r="F13" s="48">
        <f>IFERROR((HistoricalFS!F18-HistoricalFS!F24)/HistoricalFS!F6,0)</f>
        <v>1.5316073586371863</v>
      </c>
      <c r="G13" s="48">
        <f>IFERROR((HistoricalFS!G18-HistoricalFS!G24)/HistoricalFS!G6,0)</f>
        <v>1.4521592255495046</v>
      </c>
      <c r="H13" s="48">
        <f>IFERROR((HistoricalFS!H18-HistoricalFS!H24)/HistoricalFS!H6,0)</f>
        <v>1.4002320962151165</v>
      </c>
      <c r="I13" s="48">
        <f>IFERROR((HistoricalFS!I18-HistoricalFS!I24)/HistoricalFS!I6,0)</f>
        <v>1.5599732224040752</v>
      </c>
      <c r="J13" s="48">
        <f>IFERROR((HistoricalFS!J18-HistoricalFS!J24)/HistoricalFS!J6,0)</f>
        <v>1.6523722614200642</v>
      </c>
      <c r="K13" s="48">
        <f>IFERROR((HistoricalFS!K18-HistoricalFS!K24)/HistoricalFS!K6,0)</f>
        <v>1.6395304510779161</v>
      </c>
      <c r="L13" s="48">
        <f>IFERROR((HistoricalFS!L18-HistoricalFS!L24)/HistoricalFS!L6,0)</f>
        <v>1.5734883450043107</v>
      </c>
      <c r="N13" s="48">
        <f t="shared" si="2"/>
        <v>1.5238202767190603</v>
      </c>
      <c r="O13" s="48">
        <f t="shared" si="1"/>
        <v>1.5167691429930856</v>
      </c>
    </row>
    <row r="14" spans="2:16" x14ac:dyDescent="0.25">
      <c r="B14" s="8" t="s">
        <v>126</v>
      </c>
      <c r="C14" s="48">
        <f>IFERROR(HistoricalFS!C28,0)</f>
        <v>1.4029701132917696</v>
      </c>
      <c r="D14" s="48">
        <f>IFERROR(HistoricalFS!D28,0)</f>
        <v>1.4576730680401886</v>
      </c>
      <c r="E14" s="48">
        <f>IFERROR(HistoricalFS!E28,0)</f>
        <v>1.4301885868616271</v>
      </c>
      <c r="F14" s="48">
        <f>IFERROR(HistoricalFS!F28,0)</f>
        <v>1.4777263652075772</v>
      </c>
      <c r="G14" s="48">
        <f>IFERROR(HistoricalFS!G28,0)</f>
        <v>1.4035470297947181</v>
      </c>
      <c r="H14" s="48">
        <f>IFERROR(HistoricalFS!H28,0)</f>
        <v>1.377842284018264</v>
      </c>
      <c r="I14" s="48">
        <f>IFERROR(HistoricalFS!I28,0)</f>
        <v>1.5340902128511502</v>
      </c>
      <c r="J14" s="48">
        <f>IFERROR(HistoricalFS!J28,0)</f>
        <v>1.6196125439726652</v>
      </c>
      <c r="K14" s="48">
        <f>IFERROR(HistoricalFS!K28,0)</f>
        <v>1.605939961062953</v>
      </c>
      <c r="L14" s="48">
        <f>IFERROR(HistoricalFS!L28,0)</f>
        <v>1.5426144678076508</v>
      </c>
      <c r="N14" s="48">
        <f t="shared" si="2"/>
        <v>1.4852204632908563</v>
      </c>
      <c r="O14" s="48">
        <f t="shared" si="1"/>
        <v>1.467699716623883</v>
      </c>
    </row>
    <row r="15" spans="2:16" x14ac:dyDescent="0.25">
      <c r="B15" s="49" t="s">
        <v>127</v>
      </c>
      <c r="C15" s="50">
        <f>IFERROR(HistoricalFS!C34,0)</f>
        <v>1.3782325857070321</v>
      </c>
      <c r="D15" s="50">
        <f>IFERROR(HistoricalFS!D34,0)</f>
        <v>1.4301488846934096</v>
      </c>
      <c r="E15" s="50">
        <f>IFERROR(HistoricalFS!E34,0)</f>
        <v>1.3875776080001527</v>
      </c>
      <c r="F15" s="50">
        <f>IFERROR(HistoricalFS!F34,0)</f>
        <v>1.4960962088563843</v>
      </c>
      <c r="G15" s="50">
        <f>IFERROR(HistoricalFS!G34,0)</f>
        <v>1.3674146554071069</v>
      </c>
      <c r="H15" s="50">
        <f>IFERROR(HistoricalFS!H34,0)</f>
        <v>1.3430924117343077</v>
      </c>
      <c r="I15" s="50">
        <f>IFERROR(HistoricalFS!I34,0)</f>
        <v>1.4923410544588596</v>
      </c>
      <c r="J15" s="50">
        <f>IFERROR(HistoricalFS!J34,0)</f>
        <v>1.6031943513915692</v>
      </c>
      <c r="K15" s="50">
        <f>IFERROR(HistoricalFS!K34,0)</f>
        <v>1.5819670964701558</v>
      </c>
      <c r="L15" s="50">
        <f>IFERROR(HistoricalFS!L34,0)</f>
        <v>1.5207187526627257</v>
      </c>
      <c r="M15" s="60"/>
      <c r="N15" s="59">
        <f t="shared" si="2"/>
        <v>1.4600783609381702</v>
      </c>
      <c r="O15" s="59">
        <f t="shared" si="1"/>
        <v>1.4612449695761347</v>
      </c>
    </row>
    <row r="16" spans="2:16" x14ac:dyDescent="0.25">
      <c r="O16" s="14"/>
    </row>
    <row r="17" spans="2:15" x14ac:dyDescent="0.25">
      <c r="B17" s="46" t="s">
        <v>128</v>
      </c>
      <c r="C17" s="47">
        <f>IFERROR(HistoricalFS!C16,0)</f>
        <v>0.19215326312460029</v>
      </c>
      <c r="D17" s="47">
        <f>IFERROR(HistoricalFS!D16,0)</f>
        <v>0.13879074300520078</v>
      </c>
      <c r="E17" s="47">
        <f>IFERROR(HistoricalFS!E16,0)</f>
        <v>0.14435761908540165</v>
      </c>
      <c r="F17" s="47">
        <f>IFERROR(HistoricalFS!F16,0)</f>
        <v>0.14156146639187825</v>
      </c>
      <c r="G17" s="47">
        <f>IFERROR(HistoricalFS!G16,0)</f>
        <v>0.14694390372028165</v>
      </c>
      <c r="H17" s="47">
        <f>IFERROR(HistoricalFS!H16,0)</f>
        <v>0.15110737587769296</v>
      </c>
      <c r="I17" s="47">
        <f>IFERROR(HistoricalFS!I16,0)</f>
        <v>0.13446808416212699</v>
      </c>
      <c r="J17" s="47">
        <f>IFERROR(HistoricalFS!J16,0)</f>
        <v>0.10371313480715125</v>
      </c>
      <c r="K17" s="47">
        <f>IFERROR(HistoricalFS!K16,0)</f>
        <v>9.8512046923960012E-2</v>
      </c>
      <c r="L17" s="47">
        <f>IFERROR(HistoricalFS!L16,0)</f>
        <v>0.11351652800461653</v>
      </c>
      <c r="M17" s="58"/>
      <c r="N17" s="57">
        <f t="shared" si="2"/>
        <v>0.13651241651029103</v>
      </c>
      <c r="O17" s="57">
        <f t="shared" si="1"/>
        <v>0.14017610469853953</v>
      </c>
    </row>
    <row r="18" spans="2:15" x14ac:dyDescent="0.25">
      <c r="B18" s="8" t="s">
        <v>129</v>
      </c>
      <c r="C18" s="48">
        <f>IFERROR(HistoricalFS!C25,0)</f>
        <v>5.0515666064882614E-2</v>
      </c>
      <c r="D18" s="48">
        <f>IFERROR(HistoricalFS!D25,0)</f>
        <v>4.6586152739326953E-2</v>
      </c>
      <c r="E18" s="48">
        <f>IFERROR(HistoricalFS!E25,0)</f>
        <v>4.6564831803641286E-2</v>
      </c>
      <c r="F18" s="48">
        <f>IFERROR(HistoricalFS!F25,0)</f>
        <v>6.0369991699844049E-2</v>
      </c>
      <c r="G18" s="48">
        <f>IFERROR(HistoricalFS!G25,0)</f>
        <v>5.9009416056248376E-2</v>
      </c>
      <c r="H18" s="48">
        <f>IFERROR(HistoricalFS!H25,0)</f>
        <v>3.7304889994501947E-2</v>
      </c>
      <c r="I18" s="48">
        <f>IFERROR(HistoricalFS!I25,0)</f>
        <v>3.8360784094887142E-2</v>
      </c>
      <c r="J18" s="48">
        <f>IFERROR(HistoricalFS!J25,0)</f>
        <v>4.3121378737725639E-2</v>
      </c>
      <c r="K18" s="48">
        <f>IFERROR(HistoricalFS!K25,0)</f>
        <v>4.768559672898421E-2</v>
      </c>
      <c r="L18" s="48">
        <f>IFERROR(HistoricalFS!L25,0)</f>
        <v>5.1496997888428854E-2</v>
      </c>
      <c r="N18" s="48">
        <f t="shared" si="2"/>
        <v>4.810157058084711E-2</v>
      </c>
      <c r="O18" s="48">
        <f t="shared" si="1"/>
        <v>4.7135874734155578E-2</v>
      </c>
    </row>
    <row r="19" spans="2:15" x14ac:dyDescent="0.25">
      <c r="B19" s="49" t="s">
        <v>130</v>
      </c>
      <c r="C19" s="50">
        <f>IFERROR(C13,0)</f>
        <v>1.4481368648208512</v>
      </c>
      <c r="D19" s="50">
        <f t="shared" ref="D19:L19" si="3">IFERROR(D13,0)</f>
        <v>1.5019309273489849</v>
      </c>
      <c r="E19" s="50">
        <f t="shared" si="3"/>
        <v>1.4787720147125951</v>
      </c>
      <c r="F19" s="50">
        <f t="shared" si="3"/>
        <v>1.5316073586371863</v>
      </c>
      <c r="G19" s="50">
        <f t="shared" si="3"/>
        <v>1.4521592255495046</v>
      </c>
      <c r="H19" s="50">
        <f t="shared" si="3"/>
        <v>1.4002320962151165</v>
      </c>
      <c r="I19" s="50">
        <f t="shared" si="3"/>
        <v>1.5599732224040752</v>
      </c>
      <c r="J19" s="50">
        <f t="shared" si="3"/>
        <v>1.6523722614200642</v>
      </c>
      <c r="K19" s="50">
        <f t="shared" si="3"/>
        <v>1.6395304510779161</v>
      </c>
      <c r="L19" s="50">
        <f t="shared" si="3"/>
        <v>1.5734883450043107</v>
      </c>
      <c r="M19" s="60"/>
      <c r="N19" s="59">
        <f t="shared" si="2"/>
        <v>1.5238202767190603</v>
      </c>
      <c r="O19" s="59">
        <f t="shared" si="1"/>
        <v>1.5167691429930856</v>
      </c>
    </row>
    <row r="20" spans="2:15" x14ac:dyDescent="0.25">
      <c r="O20" s="14"/>
    </row>
    <row r="21" spans="2:15" x14ac:dyDescent="0.25">
      <c r="B21" s="46" t="s">
        <v>131</v>
      </c>
      <c r="C21" s="47">
        <f>IFERROR((HistoricalFS!C18-HistoricalFS!C24)/SUM(HistoricalFS!C48:C50),0)</f>
        <v>1.3458561804845846</v>
      </c>
      <c r="D21" s="47">
        <f>IFERROR((HistoricalFS!D18-HistoricalFS!D24)/SUM(HistoricalFS!D48:D50),0)</f>
        <v>1.2097399600974188</v>
      </c>
      <c r="E21" s="47">
        <f>IFERROR((HistoricalFS!E18-HistoricalFS!E24)/SUM(HistoricalFS!E48:E50),0)</f>
        <v>1.3735990592743192</v>
      </c>
      <c r="F21" s="47">
        <f>IFERROR((HistoricalFS!F18-HistoricalFS!F24)/SUM(HistoricalFS!F48:F50),0)</f>
        <v>1.1276415777403903</v>
      </c>
      <c r="G21" s="47">
        <f>IFERROR((HistoricalFS!G18-HistoricalFS!G24)/SUM(HistoricalFS!G48:G50),0)</f>
        <v>1.3962753390097027</v>
      </c>
      <c r="H21" s="47">
        <f>IFERROR((HistoricalFS!H18-HistoricalFS!H24)/SUM(HistoricalFS!H48:H50),0)</f>
        <v>1.7978503549312725</v>
      </c>
      <c r="I21" s="47">
        <f>IFERROR((HistoricalFS!I18-HistoricalFS!I24)/SUM(HistoricalFS!I48:I50),0)</f>
        <v>2.0195418383759765</v>
      </c>
      <c r="J21" s="47">
        <f>IFERROR((HistoricalFS!J18-HistoricalFS!J24)/SUM(HistoricalFS!J48:J50),0)</f>
        <v>2.1141130075903085</v>
      </c>
      <c r="K21" s="47">
        <f>IFERROR((HistoricalFS!K18-HistoricalFS!K24)/SUM(HistoricalFS!K48:K50),0)</f>
        <v>1.9266859700679697</v>
      </c>
      <c r="L21" s="47">
        <f>IFERROR((HistoricalFS!L18-HistoricalFS!L24)/SUM(HistoricalFS!L48:L50),0)</f>
        <v>1.8775160520984573</v>
      </c>
      <c r="M21" s="58"/>
      <c r="N21" s="57">
        <f t="shared" si="2"/>
        <v>1.6188819339670402</v>
      </c>
      <c r="O21" s="57">
        <f t="shared" si="1"/>
        <v>1.5970628469704877</v>
      </c>
    </row>
    <row r="22" spans="2:15" x14ac:dyDescent="0.25">
      <c r="B22" s="8" t="s">
        <v>132</v>
      </c>
      <c r="C22" s="48">
        <f>IFERROR(HistoricalFS!C44,0)</f>
        <v>0.99373127601199984</v>
      </c>
      <c r="D22" s="48">
        <f>IFERROR(HistoricalFS!D44,0)</f>
        <v>0.99350436491700089</v>
      </c>
      <c r="E22" s="48">
        <f>IFERROR(HistoricalFS!E44,0)</f>
        <v>0.99319666386870054</v>
      </c>
      <c r="F22" s="48">
        <f>IFERROR(HistoricalFS!F44,0)</f>
        <v>0.99452646238755338</v>
      </c>
      <c r="G22" s="48">
        <f>IFERROR(HistoricalFS!G44,0)</f>
        <v>0.98600725738982697</v>
      </c>
      <c r="H22" s="48">
        <f>IFERROR(HistoricalFS!H44,0)</f>
        <v>0.98099195656371663</v>
      </c>
      <c r="I22" s="48">
        <f>IFERROR(HistoricalFS!I44,0)</f>
        <v>0.98789404965304906</v>
      </c>
      <c r="J22" s="48">
        <f>IFERROR(HistoricalFS!J44,0)</f>
        <v>0.98777704077758266</v>
      </c>
      <c r="K22" s="48">
        <f>IFERROR(HistoricalFS!K44,0)</f>
        <v>0.98701062045880927</v>
      </c>
      <c r="L22" s="48">
        <f>IFERROR(HistoricalFS!L44,0)</f>
        <v>0.9858654857538206</v>
      </c>
      <c r="N22" s="48">
        <f t="shared" si="2"/>
        <v>0.98905051777820585</v>
      </c>
      <c r="O22" s="48">
        <f t="shared" si="1"/>
        <v>0.9878355452153158</v>
      </c>
    </row>
    <row r="23" spans="2:15" x14ac:dyDescent="0.25">
      <c r="B23" s="8" t="s">
        <v>133</v>
      </c>
      <c r="C23" s="48">
        <f>IFERROR(HistoricalFS!C33/SUM(HistoricalFS!C48:C49),0)</f>
        <v>4.0924776013952657</v>
      </c>
      <c r="D23" s="48">
        <f>IFERROR(HistoricalFS!D33/SUM(HistoricalFS!D48:D49),0)</f>
        <v>2.8957240783813276</v>
      </c>
      <c r="E23" s="48">
        <f>IFERROR(HistoricalFS!E33/SUM(HistoricalFS!E48:E49),0)</f>
        <v>3.1741415461541718</v>
      </c>
      <c r="F23" s="48">
        <f>IFERROR(HistoricalFS!F33/SUM(HistoricalFS!F48:F49),0)</f>
        <v>2.8430236366873567</v>
      </c>
      <c r="G23" s="48">
        <f>IFERROR(HistoricalFS!G33/SUM(HistoricalFS!G48:G49),0)</f>
        <v>2.8821798906420462</v>
      </c>
      <c r="H23" s="48">
        <f>IFERROR(HistoricalFS!H33/SUM(HistoricalFS!H48:H49),0)</f>
        <v>2.8630811449957982</v>
      </c>
      <c r="I23" s="48">
        <f>IFERROR(HistoricalFS!I33/SUM(HistoricalFS!I48:I49),0)</f>
        <v>3.5230676324987553</v>
      </c>
      <c r="J23" s="48">
        <f>IFERROR(HistoricalFS!J33/SUM(HistoricalFS!J48:J49),0)</f>
        <v>3.9919842026620951</v>
      </c>
      <c r="K23" s="48">
        <f>IFERROR(HistoricalFS!K33/SUM(HistoricalFS!K48:K49),0)</f>
        <v>3.792129681781093</v>
      </c>
      <c r="L23" s="48">
        <f>IFERROR(HistoricalFS!L33/SUM(HistoricalFS!L48:L49),0)</f>
        <v>3.4552968576648282</v>
      </c>
      <c r="N23" s="48">
        <f t="shared" si="2"/>
        <v>3.3513106272862734</v>
      </c>
      <c r="O23" s="48">
        <f t="shared" si="1"/>
        <v>3.3147192019095</v>
      </c>
    </row>
    <row r="24" spans="2:15" x14ac:dyDescent="0.25">
      <c r="B24" s="8" t="s">
        <v>134</v>
      </c>
      <c r="C24" s="48">
        <f>IFERROR('Ratio Analysis'!C22*'Ratio Analysis'!C23,0)</f>
        <v>4.066822988885046</v>
      </c>
      <c r="D24" s="48">
        <f>IFERROR('Ratio Analysis'!D22*'Ratio Analysis'!D23,0)</f>
        <v>2.8769145114671084</v>
      </c>
      <c r="E24" s="48">
        <f>IFERROR('Ratio Analysis'!E22*'Ratio Analysis'!E23,0)</f>
        <v>3.1525467942873622</v>
      </c>
      <c r="F24" s="48">
        <f>IFERROR('Ratio Analysis'!F22*'Ratio Analysis'!F23,0)</f>
        <v>2.8274622398788738</v>
      </c>
      <c r="G24" s="48">
        <f>IFERROR('Ratio Analysis'!G22*'Ratio Analysis'!G23,0)</f>
        <v>2.8418502892760755</v>
      </c>
      <c r="H24" s="48">
        <f>IFERROR('Ratio Analysis'!H22*'Ratio Analysis'!H23,0)</f>
        <v>2.8086595742301141</v>
      </c>
      <c r="I24" s="48">
        <f>IFERROR('Ratio Analysis'!I22*'Ratio Analysis'!I23,0)</f>
        <v>3.4804175506707753</v>
      </c>
      <c r="J24" s="48">
        <f>IFERROR('Ratio Analysis'!J22*'Ratio Analysis'!J23,0)</f>
        <v>3.9431903425364223</v>
      </c>
      <c r="K24" s="48">
        <f>IFERROR('Ratio Analysis'!K22*'Ratio Analysis'!K23,0)</f>
        <v>3.7428722700750234</v>
      </c>
      <c r="L24" s="48">
        <f>IFERROR('Ratio Analysis'!L22*'Ratio Analysis'!L23,0)</f>
        <v>3.4064579150053858</v>
      </c>
      <c r="N24" s="48">
        <f t="shared" si="2"/>
        <v>3.3147194476312185</v>
      </c>
      <c r="O24" s="48">
        <f t="shared" si="1"/>
        <v>3.279502354646374</v>
      </c>
    </row>
    <row r="25" spans="2:15" x14ac:dyDescent="0.25">
      <c r="B25" s="49" t="s">
        <v>135</v>
      </c>
      <c r="C25" s="51">
        <f>IFERROR((HistoricalFS!C18-HistoricalFS!C24)/HistoricalFS!C21,0)</f>
        <v>32.062010567406645</v>
      </c>
      <c r="D25" s="51">
        <f>IFERROR((HistoricalFS!D18-HistoricalFS!D24)/HistoricalFS!D21,0)</f>
        <v>33.93591445238453</v>
      </c>
      <c r="E25" s="51">
        <f>IFERROR((HistoricalFS!E18-HistoricalFS!E24)/HistoricalFS!E21,0)</f>
        <v>30.437786712967192</v>
      </c>
      <c r="F25" s="51">
        <f>IFERROR((HistoricalFS!F18-HistoricalFS!F24)/HistoricalFS!F21,0)</f>
        <v>28.425744611373787</v>
      </c>
      <c r="G25" s="51">
        <f>IFERROR((HistoricalFS!G18-HistoricalFS!G24)/HistoricalFS!G21,0)</f>
        <v>29.87232325144511</v>
      </c>
      <c r="H25" s="51">
        <f>IFERROR((HistoricalFS!H18-HistoricalFS!H24)/HistoricalFS!H21,0)</f>
        <v>62.538804877155719</v>
      </c>
      <c r="I25" s="51">
        <f>IFERROR((HistoricalFS!I18-HistoricalFS!I24)/HistoricalFS!I21,0)</f>
        <v>60.27016368456983</v>
      </c>
      <c r="J25" s="51">
        <f>IFERROR((HistoricalFS!J18-HistoricalFS!J24)/HistoricalFS!J21,0)</f>
        <v>50.439148752525789</v>
      </c>
      <c r="K25" s="51">
        <f>IFERROR((HistoricalFS!K18-HistoricalFS!K24)/HistoricalFS!K21,0)</f>
        <v>48.80936391066551</v>
      </c>
      <c r="L25" s="51">
        <f>IFERROR((HistoricalFS!L18-HistoricalFS!L24)/HistoricalFS!L21,0)</f>
        <v>50.965038662994303</v>
      </c>
      <c r="M25" s="60"/>
      <c r="N25" s="63">
        <f t="shared" si="2"/>
        <v>42.775629948348843</v>
      </c>
      <c r="O25" s="63">
        <f t="shared" si="1"/>
        <v>41.372639181525017</v>
      </c>
    </row>
    <row r="26" spans="2:15" x14ac:dyDescent="0.25">
      <c r="O26" s="14"/>
    </row>
    <row r="27" spans="2:15" x14ac:dyDescent="0.25">
      <c r="B27" s="46" t="s">
        <v>136</v>
      </c>
      <c r="C27" s="52">
        <f>IFERROR(HistoricalFS!C6/HistoricalFS!C60,0)</f>
        <v>9.691996596132503</v>
      </c>
      <c r="D27" s="52">
        <f>IFERROR(HistoricalFS!D6/HistoricalFS!D60,0)</f>
        <v>9.9270163472814676</v>
      </c>
      <c r="E27" s="52">
        <f>IFERROR(HistoricalFS!E6/HistoricalFS!E60,0)</f>
        <v>13.349334518669037</v>
      </c>
      <c r="F27" s="52">
        <f>IFERROR(HistoricalFS!F6/HistoricalFS!F60,0)</f>
        <v>17.732180836559959</v>
      </c>
      <c r="G27" s="52">
        <f>IFERROR(HistoricalFS!G6/HistoricalFS!G60,0)</f>
        <v>16.402518281229035</v>
      </c>
      <c r="H27" s="52">
        <f>IFERROR(HistoricalFS!H6/HistoricalFS!H60,0)</f>
        <v>19.920839787595241</v>
      </c>
      <c r="I27" s="52">
        <f>IFERROR(HistoricalFS!I6/HistoricalFS!I60,0)</f>
        <v>29.471432343010498</v>
      </c>
      <c r="J27" s="52">
        <f>IFERROR(HistoricalFS!J6/HistoricalFS!J60,0)</f>
        <v>36.588118840334445</v>
      </c>
      <c r="K27" s="52">
        <f>IFERROR(HistoricalFS!K6/HistoricalFS!K60,0)</f>
        <v>41.547531777204064</v>
      </c>
      <c r="L27" s="62">
        <f>IFERROR(HistoricalFS!L6/HistoricalFS!L60,0)</f>
        <v>47.212758471310117</v>
      </c>
      <c r="M27" s="58"/>
      <c r="N27" s="62">
        <f t="shared" si="2"/>
        <v>24.184372779932634</v>
      </c>
      <c r="O27" s="62">
        <f t="shared" si="1"/>
        <v>18.826510312077602</v>
      </c>
    </row>
    <row r="28" spans="2:15" x14ac:dyDescent="0.25">
      <c r="B28" s="8" t="s">
        <v>137</v>
      </c>
      <c r="C28" s="53">
        <f>IFERROR(HistoricalFS!C6/HistoricalFS!C51,0)</f>
        <v>2.1757735757812484</v>
      </c>
      <c r="D28" s="53">
        <f>IFERROR(HistoricalFS!D6/HistoricalFS!D51,0)</f>
        <v>2.2125526012544414</v>
      </c>
      <c r="E28" s="53">
        <f>IFERROR(HistoricalFS!E6/HistoricalFS!E51,0)</f>
        <v>2.5014062667077459</v>
      </c>
      <c r="F28" s="53">
        <f>IFERROR(HistoricalFS!F6/HistoricalFS!F51,0)</f>
        <v>2.3599889745262943</v>
      </c>
      <c r="G28" s="53">
        <f>IFERROR(HistoricalFS!G6/HistoricalFS!G51,0)</f>
        <v>1.9277973206769432</v>
      </c>
      <c r="H28" s="53">
        <f>IFERROR(HistoricalFS!H6/HistoricalFS!H51,0)</f>
        <v>2.6397570887176078</v>
      </c>
      <c r="I28" s="53">
        <f>IFERROR(HistoricalFS!I6/HistoricalFS!I51,0)</f>
        <v>2.4979584919539115</v>
      </c>
      <c r="J28" s="53">
        <f>IFERROR(HistoricalFS!J6/HistoricalFS!J51,0)</f>
        <v>2.5408498119730973</v>
      </c>
      <c r="K28" s="53">
        <f>IFERROR(HistoricalFS!K6/HistoricalFS!K51,0)</f>
        <v>2.4421459214038994</v>
      </c>
      <c r="L28" s="53">
        <f>IFERROR(HistoricalFS!L6/HistoricalFS!L51,0)</f>
        <v>2.2766564975198915</v>
      </c>
      <c r="N28" s="53">
        <f t="shared" si="2"/>
        <v>2.3574886550515082</v>
      </c>
      <c r="O28" s="53">
        <f t="shared" si="1"/>
        <v>2.4010674479650969</v>
      </c>
    </row>
    <row r="29" spans="2:15" x14ac:dyDescent="0.25">
      <c r="B29" s="8" t="s">
        <v>138</v>
      </c>
      <c r="C29" s="53">
        <f>IFERROR(HistoricalFS!C6/HistoricalFS!C61,0)</f>
        <v>4.527505037530509</v>
      </c>
      <c r="D29" s="53">
        <f>IFERROR(HistoricalFS!D6/HistoricalFS!D61,0)</f>
        <v>4.3503192964324642</v>
      </c>
      <c r="E29" s="53">
        <f>IFERROR(HistoricalFS!E6/HistoricalFS!E61,0)</f>
        <v>4.980682712020748</v>
      </c>
      <c r="F29" s="53">
        <f>IFERROR(HistoricalFS!F6/HistoricalFS!F61,0)</f>
        <v>4.50023850354955</v>
      </c>
      <c r="G29" s="53">
        <f>IFERROR(HistoricalFS!G6/HistoricalFS!G61,0)</f>
        <v>4.7023564462240186</v>
      </c>
      <c r="H29" s="53">
        <f>IFERROR(HistoricalFS!H6/HistoricalFS!H61,0)</f>
        <v>4.9966660105738141</v>
      </c>
      <c r="I29" s="53">
        <f>IFERROR(HistoricalFS!I6/HistoricalFS!I61,0)</f>
        <v>4.4721347826062985</v>
      </c>
      <c r="J29" s="53">
        <f>IFERROR(HistoricalFS!J6/HistoricalFS!J61,0)</f>
        <v>4.6619688426041108</v>
      </c>
      <c r="K29" s="53">
        <f>IFERROR(HistoricalFS!K6/HistoricalFS!K61,0)</f>
        <v>4.9011617867169139</v>
      </c>
      <c r="L29" s="53">
        <f>IFERROR(HistoricalFS!L6/HistoricalFS!L61,0)</f>
        <v>4.9130957082466127</v>
      </c>
      <c r="N29" s="53">
        <f t="shared" si="2"/>
        <v>4.7006129126505041</v>
      </c>
      <c r="O29" s="53">
        <f t="shared" si="1"/>
        <v>4.6821626444140652</v>
      </c>
    </row>
    <row r="30" spans="2:15" x14ac:dyDescent="0.25">
      <c r="B30" s="8" t="s">
        <v>139</v>
      </c>
      <c r="C30" s="53">
        <f>IFERROR(HistoricalFS!C6/HistoricalFS!C54,0)</f>
        <v>1.220558971073255</v>
      </c>
      <c r="D30" s="53">
        <f>IFERROR(HistoricalFS!D6/HistoricalFS!D54,0)</f>
        <v>1.2824432762994682</v>
      </c>
      <c r="E30" s="53">
        <f>IFERROR(HistoricalFS!E6/HistoricalFS!E54,0)</f>
        <v>1.2670087593480364</v>
      </c>
      <c r="F30" s="53">
        <f>IFERROR(HistoricalFS!F6/HistoricalFS!F54,0)</f>
        <v>1.0391376006628283</v>
      </c>
      <c r="G30" s="53">
        <f>IFERROR(HistoricalFS!G6/HistoricalFS!G54,0)</f>
        <v>1.1524742592865647</v>
      </c>
      <c r="H30" s="53">
        <f>IFERROR(HistoricalFS!H6/HistoricalFS!H54,0)</f>
        <v>1.8303184169177338</v>
      </c>
      <c r="I30" s="53">
        <f>IFERROR(HistoricalFS!I6/HistoricalFS!I54,0)</f>
        <v>1.6597344617902456</v>
      </c>
      <c r="J30" s="53">
        <f>IFERROR(HistoricalFS!J6/HistoricalFS!J54,0)</f>
        <v>1.5399773865939568</v>
      </c>
      <c r="K30" s="53">
        <f>IFERROR(HistoricalFS!K6/HistoricalFS!K54,0)</f>
        <v>1.4481255755759272</v>
      </c>
      <c r="L30" s="53">
        <f>IFERROR(HistoricalFS!L6/HistoricalFS!L54,0)</f>
        <v>1.2903249008257713</v>
      </c>
      <c r="N30" s="53">
        <f t="shared" si="2"/>
        <v>1.3730103608373787</v>
      </c>
      <c r="O30" s="53">
        <f t="shared" si="1"/>
        <v>1.2863840885626199</v>
      </c>
    </row>
    <row r="31" spans="2:15" x14ac:dyDescent="0.25">
      <c r="B31" s="49" t="s">
        <v>140</v>
      </c>
      <c r="C31" s="51">
        <f>IFERROR(HistoricalFS!C6/SUM(HistoricalFS!C48:C49),0)</f>
        <v>2.9693664507981636</v>
      </c>
      <c r="D31" s="51">
        <f>IFERROR(HistoricalFS!D6/SUM(HistoricalFS!D48:D49),0)</f>
        <v>2.024771063609998</v>
      </c>
      <c r="E31" s="51">
        <f>IFERROR(HistoricalFS!E6/SUM(HistoricalFS!E48:E49),0)</f>
        <v>2.2875416321606008</v>
      </c>
      <c r="F31" s="51">
        <f>IFERROR(HistoricalFS!F6/SUM(HistoricalFS!F48:F49),0)</f>
        <v>1.9002946601011466</v>
      </c>
      <c r="G31" s="51">
        <f>IFERROR(HistoricalFS!G6/SUM(HistoricalFS!G48:G49),0)</f>
        <v>2.1077585202448801</v>
      </c>
      <c r="H31" s="51">
        <f>IFERROR(HistoricalFS!H6/SUM(HistoricalFS!H48:H49),0)</f>
        <v>2.1317082279533994</v>
      </c>
      <c r="I31" s="51">
        <f>IFERROR(HistoricalFS!I6/SUM(HistoricalFS!I48:I49),0)</f>
        <v>2.3607657391535484</v>
      </c>
      <c r="J31" s="51">
        <f>IFERROR(HistoricalFS!J6/SUM(HistoricalFS!J48:J49),0)</f>
        <v>2.4900188796180962</v>
      </c>
      <c r="K31" s="51">
        <f>IFERROR(HistoricalFS!K6/SUM(HistoricalFS!K48:K49),0)</f>
        <v>2.397097695800674</v>
      </c>
      <c r="L31" s="63">
        <f>IFERROR(HistoricalFS!L6/SUM(HistoricalFS!L48:L49),0)</f>
        <v>2.2721472011933326</v>
      </c>
      <c r="M31" s="60"/>
      <c r="N31" s="63">
        <f t="shared" si="2"/>
        <v>2.2941470070633843</v>
      </c>
      <c r="O31" s="63">
        <f t="shared" si="1"/>
        <v>2.2798444166769665</v>
      </c>
    </row>
    <row r="32" spans="2:15" x14ac:dyDescent="0.25">
      <c r="O32" s="14"/>
    </row>
    <row r="33" spans="2:15" x14ac:dyDescent="0.25">
      <c r="B33" s="54" t="s">
        <v>148</v>
      </c>
      <c r="C33" s="46"/>
      <c r="D33" s="46"/>
      <c r="E33" s="46"/>
      <c r="F33" s="46"/>
      <c r="G33" s="46"/>
      <c r="H33" s="46"/>
      <c r="I33" s="46"/>
      <c r="J33" s="46"/>
      <c r="K33" s="46"/>
      <c r="L33" s="58"/>
      <c r="M33" s="58"/>
      <c r="N33" s="58"/>
      <c r="O33" s="57"/>
    </row>
    <row r="34" spans="2:15" x14ac:dyDescent="0.25">
      <c r="B34" s="8" t="s">
        <v>141</v>
      </c>
      <c r="C34" s="55">
        <f>IFERROR(365/C27,0)</f>
        <v>37.659938938242064</v>
      </c>
      <c r="D34" s="55">
        <f t="shared" ref="D34:L34" si="4">IFERROR(365/D27,0)</f>
        <v>36.76834884027928</v>
      </c>
      <c r="E34" s="55">
        <f t="shared" si="4"/>
        <v>27.342186944940789</v>
      </c>
      <c r="F34" s="55">
        <f t="shared" si="4"/>
        <v>20.584044532607528</v>
      </c>
      <c r="G34" s="55">
        <f t="shared" si="4"/>
        <v>22.252680578792848</v>
      </c>
      <c r="H34" s="55">
        <f t="shared" si="4"/>
        <v>18.322520731645383</v>
      </c>
      <c r="I34" s="55">
        <f t="shared" si="4"/>
        <v>12.384874808657344</v>
      </c>
      <c r="J34" s="55">
        <f t="shared" si="4"/>
        <v>9.9759159959223425</v>
      </c>
      <c r="K34" s="55">
        <f t="shared" si="4"/>
        <v>8.7851187395989907</v>
      </c>
      <c r="L34" s="55">
        <f t="shared" si="4"/>
        <v>7.7309611176775528</v>
      </c>
      <c r="N34" s="55">
        <f t="shared" ref="N34:N41" si="5">IFERROR(AVERAGE(C34:L34),0)</f>
        <v>20.180659122836417</v>
      </c>
      <c r="O34" s="55">
        <f t="shared" si="1"/>
        <v>19.453282632126456</v>
      </c>
    </row>
    <row r="35" spans="2:15" x14ac:dyDescent="0.25">
      <c r="B35" s="8" t="s">
        <v>142</v>
      </c>
      <c r="C35" s="55">
        <f>IFERROR(365/C28,0)</f>
        <v>167.75642652473181</v>
      </c>
      <c r="D35" s="55">
        <f t="shared" ref="D35:L35" si="6">IFERROR(365/D28,0)</f>
        <v>164.96782937185654</v>
      </c>
      <c r="E35" s="55">
        <f t="shared" si="6"/>
        <v>145.91792019470665</v>
      </c>
      <c r="F35" s="55">
        <f t="shared" si="6"/>
        <v>154.66173949955174</v>
      </c>
      <c r="G35" s="55">
        <f t="shared" si="6"/>
        <v>189.33525640124387</v>
      </c>
      <c r="H35" s="55">
        <f t="shared" si="6"/>
        <v>138.27029826343482</v>
      </c>
      <c r="I35" s="55">
        <f t="shared" si="6"/>
        <v>146.1193215082192</v>
      </c>
      <c r="J35" s="55">
        <f t="shared" si="6"/>
        <v>143.65272527326565</v>
      </c>
      <c r="K35" s="55">
        <f t="shared" si="6"/>
        <v>149.45871858065507</v>
      </c>
      <c r="L35" s="55">
        <f t="shared" si="6"/>
        <v>160.32282445666178</v>
      </c>
      <c r="N35" s="55">
        <f t="shared" si="5"/>
        <v>156.04630600743272</v>
      </c>
      <c r="O35" s="55">
        <f t="shared" si="1"/>
        <v>152.06022904010342</v>
      </c>
    </row>
    <row r="36" spans="2:15" x14ac:dyDescent="0.25">
      <c r="B36" s="8" t="s">
        <v>143</v>
      </c>
      <c r="C36" s="55">
        <f>IFERROR(365/C29,0)</f>
        <v>80.618353149107989</v>
      </c>
      <c r="D36" s="55">
        <f t="shared" ref="D36:L36" si="7">IFERROR(365/D29,0)</f>
        <v>83.901887454404317</v>
      </c>
      <c r="E36" s="55">
        <f t="shared" si="7"/>
        <v>73.283126250761171</v>
      </c>
      <c r="F36" s="55">
        <f t="shared" si="7"/>
        <v>81.106812386078502</v>
      </c>
      <c r="G36" s="55">
        <f t="shared" si="7"/>
        <v>77.620657679639351</v>
      </c>
      <c r="H36" s="55">
        <f t="shared" si="7"/>
        <v>73.048708724496805</v>
      </c>
      <c r="I36" s="55">
        <f t="shared" si="7"/>
        <v>81.616502574925306</v>
      </c>
      <c r="J36" s="55">
        <f t="shared" si="7"/>
        <v>78.293101546366429</v>
      </c>
      <c r="K36" s="55">
        <f t="shared" si="7"/>
        <v>74.472138624197186</v>
      </c>
      <c r="L36" s="55">
        <f t="shared" si="7"/>
        <v>74.291245616760293</v>
      </c>
      <c r="N36" s="55">
        <f t="shared" si="5"/>
        <v>77.825253400673745</v>
      </c>
      <c r="O36" s="55">
        <f t="shared" si="1"/>
        <v>77.956879613002883</v>
      </c>
    </row>
    <row r="37" spans="2:15" x14ac:dyDescent="0.25">
      <c r="B37" s="49" t="s">
        <v>144</v>
      </c>
      <c r="C37" s="56">
        <f>IFERROR(SUM(C34,C36)-C35,0)</f>
        <v>-49.478134437381755</v>
      </c>
      <c r="D37" s="56">
        <f t="shared" ref="D37:L37" si="8">IFERROR(SUM(D34,D36)-D35,0)</f>
        <v>-44.297593077172934</v>
      </c>
      <c r="E37" s="56">
        <f t="shared" si="8"/>
        <v>-45.29260699900469</v>
      </c>
      <c r="F37" s="56">
        <f t="shared" si="8"/>
        <v>-52.97088258086572</v>
      </c>
      <c r="G37" s="56">
        <f t="shared" si="8"/>
        <v>-89.461918142811669</v>
      </c>
      <c r="H37" s="56">
        <f t="shared" si="8"/>
        <v>-46.899068807292636</v>
      </c>
      <c r="I37" s="56">
        <f t="shared" si="8"/>
        <v>-52.117944124636551</v>
      </c>
      <c r="J37" s="56">
        <f t="shared" si="8"/>
        <v>-55.38370773097688</v>
      </c>
      <c r="K37" s="56">
        <f t="shared" si="8"/>
        <v>-66.201461216858903</v>
      </c>
      <c r="L37" s="61">
        <f t="shared" si="8"/>
        <v>-78.300617722223933</v>
      </c>
      <c r="M37" s="60"/>
      <c r="N37" s="61">
        <f t="shared" si="5"/>
        <v>-58.040393483922571</v>
      </c>
      <c r="O37" s="61">
        <f t="shared" si="1"/>
        <v>-52.544413352751135</v>
      </c>
    </row>
    <row r="38" spans="2:15" x14ac:dyDescent="0.25">
      <c r="O38" s="14"/>
    </row>
    <row r="39" spans="2:15" x14ac:dyDescent="0.25">
      <c r="B39" s="46" t="s">
        <v>145</v>
      </c>
      <c r="C39" s="47">
        <f>IFERROR(HistoricalFS!C71/HistoricalFS!C6,0)</f>
        <v>9.6388387402178935E-2</v>
      </c>
      <c r="D39" s="47">
        <f>IFERROR(HistoricalFS!D71/HistoricalFS!D6,0)</f>
        <v>6.5098990199276965E-2</v>
      </c>
      <c r="E39" s="47">
        <f>IFERROR(HistoricalFS!E71/HistoricalFS!E6,0)</f>
        <v>0.16069076106848912</v>
      </c>
      <c r="F39" s="47">
        <f>IFERROR(HistoricalFS!F71/HistoricalFS!F6,0)</f>
        <v>0.14425120327228555</v>
      </c>
      <c r="G39" s="47">
        <f>IFERROR(HistoricalFS!G71/HistoricalFS!G6,0)</f>
        <v>0.28327847983159232</v>
      </c>
      <c r="H39" s="47">
        <f>IFERROR(HistoricalFS!H71/HistoricalFS!H6,0)</f>
        <v>0.18191974501306918</v>
      </c>
      <c r="I39" s="47">
        <f>IFERROR(HistoricalFS!I71/HistoricalFS!I6,0)</f>
        <v>8.9101460107139152E-2</v>
      </c>
      <c r="J39" s="47">
        <f>IFERROR(HistoricalFS!J71/HistoricalFS!J6,0)</f>
        <v>8.8583151831136575E-2</v>
      </c>
      <c r="K39" s="47">
        <f>IFERROR(HistoricalFS!K71/HistoricalFS!K6,0)</f>
        <v>0.105872216805783</v>
      </c>
      <c r="L39" s="57">
        <f>IFERROR(HistoricalFS!L71/HistoricalFS!L6,0)</f>
        <v>0.15104880271787785</v>
      </c>
      <c r="M39" s="58"/>
      <c r="N39" s="57">
        <f t="shared" si="5"/>
        <v>0.13662331982488288</v>
      </c>
      <c r="O39" s="57">
        <f t="shared" si="1"/>
        <v>0.12506171003903427</v>
      </c>
    </row>
    <row r="40" spans="2:15" x14ac:dyDescent="0.25">
      <c r="B40" s="8" t="s">
        <v>146</v>
      </c>
      <c r="C40" s="48">
        <f>IFERROR(HistoricalFS!C71/HistoricalFS!C65,0)</f>
        <v>6.2769063975866957E-2</v>
      </c>
      <c r="D40" s="48">
        <f>IFERROR(HistoricalFS!D71/HistoricalFS!D65,0)</f>
        <v>3.8440531512373338E-2</v>
      </c>
      <c r="E40" s="48">
        <f>IFERROR(HistoricalFS!E71/HistoricalFS!E65,0)</f>
        <v>0.10884381826380192</v>
      </c>
      <c r="F40" s="48">
        <f>IFERROR(HistoricalFS!F71/HistoricalFS!F65,0)</f>
        <v>8.0950396292790452E-2</v>
      </c>
      <c r="G40" s="48">
        <f>IFERROR(HistoricalFS!G71/HistoricalFS!G65,0)</f>
        <v>0.18173435777471117</v>
      </c>
      <c r="H40" s="48">
        <f>IFERROR(HistoricalFS!H71/HistoricalFS!H65,0)</f>
        <v>0.15714442167274204</v>
      </c>
      <c r="I40" s="48">
        <f>IFERROR(HistoricalFS!I71/HistoricalFS!I65,0)</f>
        <v>7.5975475180466948E-2</v>
      </c>
      <c r="J40" s="48">
        <f>IFERROR(HistoricalFS!J71/HistoricalFS!J65,0)</f>
        <v>7.5379627868629298E-2</v>
      </c>
      <c r="K40" s="48">
        <f>IFERROR(HistoricalFS!K71/HistoricalFS!K65,0)</f>
        <v>8.3996584894905094E-2</v>
      </c>
      <c r="L40" s="48">
        <f>IFERROR(HistoricalFS!L71/HistoricalFS!L65,0)</f>
        <v>0.1182554168829854</v>
      </c>
      <c r="N40" s="48">
        <f t="shared" si="5"/>
        <v>9.8348969431927252E-2</v>
      </c>
      <c r="O40" s="48">
        <f t="shared" si="1"/>
        <v>8.2473490593847773E-2</v>
      </c>
    </row>
    <row r="41" spans="2:15" x14ac:dyDescent="0.25">
      <c r="B41" s="49" t="s">
        <v>147</v>
      </c>
      <c r="C41" s="50">
        <f>IFERROR(HistoricalFS!C71/HistoricalFS!C50,0)</f>
        <v>0.13039121242568616</v>
      </c>
      <c r="D41" s="50">
        <f>IFERROR(HistoricalFS!D71/HistoricalFS!D50,0)</f>
        <v>8.7071588292842797E-2</v>
      </c>
      <c r="E41" s="50">
        <f>IFERROR(HistoricalFS!E71/HistoricalFS!E50,0)</f>
        <v>0.25130827162533964</v>
      </c>
      <c r="F41" s="50">
        <f>IFERROR(HistoricalFS!F71/HistoricalFS!F50,0)</f>
        <v>0.17337773643879989</v>
      </c>
      <c r="G41" s="50">
        <f>IFERROR(HistoricalFS!G71/HistoricalFS!G50,0)</f>
        <v>0.50085846089909747</v>
      </c>
      <c r="H41" s="50">
        <f>IFERROR(HistoricalFS!H71/HistoricalFS!H50,0)</f>
        <v>0.58735041128831067</v>
      </c>
      <c r="I41" s="50">
        <f>IFERROR(HistoricalFS!I71/HistoricalFS!I50,0)</f>
        <v>0.25541643279396842</v>
      </c>
      <c r="J41" s="50">
        <f>IFERROR(HistoricalFS!J71/HistoricalFS!J50,0)</f>
        <v>0.23312098970489004</v>
      </c>
      <c r="K41" s="50">
        <f>IFERROR(HistoricalFS!K71/HistoricalFS!K50,0)</f>
        <v>0.24406459633094782</v>
      </c>
      <c r="L41" s="59">
        <f>IFERROR(HistoricalFS!L71/HistoricalFS!L50,0)</f>
        <v>0.37956075273798878</v>
      </c>
      <c r="M41" s="60"/>
      <c r="N41" s="59">
        <f t="shared" si="5"/>
        <v>0.28425204525378722</v>
      </c>
      <c r="O41" s="59">
        <f t="shared" si="1"/>
        <v>0.24768643397814372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548240B-C826-4158-A086-062584A5A9D7}">
          <x14:colorSeries theme="3"/>
          <x14:colorNegative theme="4"/>
          <x14:colorAxis rgb="FF000000"/>
          <x14:colorMarkers theme="1"/>
          <x14:colorFirst theme="5"/>
          <x14:colorLast theme="6"/>
          <x14:colorHigh theme="7"/>
          <x14:colorLow theme="8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markers="1" xr2:uid="{DCB8EFDE-AC2B-4FA7-B281-0D2AF544AA6D}">
          <x14:colorSeries theme="3"/>
          <x14:colorNegative theme="4"/>
          <x14:colorAxis rgb="FF000000"/>
          <x14:colorMarkers theme="1"/>
          <x14:colorFirst theme="5"/>
          <x14:colorLast theme="6"/>
          <x14:colorHigh theme="7"/>
          <x14:colorLow theme="8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3CB9-77C4-463D-BC7D-EA7FD8D58B28}">
  <dimension ref="B1:P18"/>
  <sheetViews>
    <sheetView workbookViewId="0">
      <selection activeCell="G20" sqref="G20"/>
    </sheetView>
  </sheetViews>
  <sheetFormatPr defaultRowHeight="15" x14ac:dyDescent="0.25"/>
  <cols>
    <col min="1" max="1" width="1.85546875" style="8" customWidth="1"/>
    <col min="2" max="2" width="11.7109375" style="66" bestFit="1" customWidth="1"/>
    <col min="3" max="3" width="9.85546875" style="8" bestFit="1" customWidth="1"/>
    <col min="4" max="4" width="9.7109375" style="8" bestFit="1" customWidth="1"/>
    <col min="5" max="5" width="12.7109375" style="8" bestFit="1" customWidth="1"/>
    <col min="6" max="6" width="2.7109375" style="8" customWidth="1"/>
    <col min="7" max="7" width="12" style="8" bestFit="1" customWidth="1"/>
    <col min="8" max="8" width="6.28515625" style="8" bestFit="1" customWidth="1"/>
    <col min="9" max="9" width="9.7109375" style="8" bestFit="1" customWidth="1"/>
    <col min="10" max="10" width="12.7109375" style="8" bestFit="1" customWidth="1"/>
    <col min="11" max="11" width="2.7109375" style="8" customWidth="1"/>
    <col min="12" max="12" width="12" style="8" bestFit="1" customWidth="1"/>
    <col min="13" max="13" width="6.28515625" style="8" bestFit="1" customWidth="1"/>
    <col min="14" max="14" width="5.5703125" style="8" bestFit="1" customWidth="1"/>
    <col min="15" max="15" width="12.7109375" style="8" bestFit="1" customWidth="1"/>
    <col min="16" max="16384" width="9.140625" style="8"/>
  </cols>
  <sheetData>
    <row r="1" spans="2:16" x14ac:dyDescent="0.25">
      <c r="F1" s="8" t="s">
        <v>58</v>
      </c>
    </row>
    <row r="2" spans="2:16" x14ac:dyDescent="0.25">
      <c r="B2" s="74" t="str">
        <f>'Data Sheet'!$B$1&amp;" - "&amp;'Data Sheet'!A17&amp;" Forecasting"</f>
        <v>TATA STEEL LTD - Sales Forecasting</v>
      </c>
      <c r="C2" s="74"/>
      <c r="D2" s="74"/>
      <c r="E2" s="74"/>
      <c r="G2" s="74" t="str">
        <f>'Data Sheet'!$B$1&amp;" - "&amp;'Data Sheet'!A34&amp;" Forecasting"</f>
        <v>TATA STEEL LTD - EBITDA Forecasting</v>
      </c>
      <c r="H2" s="74"/>
      <c r="I2" s="74"/>
      <c r="J2" s="74"/>
      <c r="L2" s="74" t="str">
        <f>'Data Sheet'!$B$1&amp;" - "&amp;HistoricalFS!B38&amp;" Forecasting"</f>
        <v>TATA STEEL LTD - EPS Forecasting</v>
      </c>
      <c r="M2" s="74"/>
      <c r="N2" s="74"/>
      <c r="O2" s="74"/>
    </row>
    <row r="3" spans="2:16" x14ac:dyDescent="0.25">
      <c r="B3" s="65" t="s">
        <v>152</v>
      </c>
      <c r="C3" s="64" t="s">
        <v>153</v>
      </c>
      <c r="D3" s="64" t="s">
        <v>12</v>
      </c>
      <c r="E3" s="64" t="s">
        <v>59</v>
      </c>
      <c r="G3" s="65" t="s">
        <v>152</v>
      </c>
      <c r="H3" s="64" t="s">
        <v>153</v>
      </c>
      <c r="I3" s="64" t="s">
        <v>12</v>
      </c>
      <c r="J3" s="64" t="s">
        <v>59</v>
      </c>
      <c r="L3" s="65" t="s">
        <v>152</v>
      </c>
      <c r="M3" s="64" t="s">
        <v>153</v>
      </c>
      <c r="N3" s="64" t="s">
        <v>12</v>
      </c>
      <c r="O3" s="64" t="s">
        <v>59</v>
      </c>
    </row>
    <row r="4" spans="2:16" x14ac:dyDescent="0.25">
      <c r="B4" s="66">
        <v>1</v>
      </c>
      <c r="C4" s="68">
        <f>'Data Sheet'!$B$16</f>
        <v>42825</v>
      </c>
      <c r="D4" s="67">
        <f t="array" ref="D4:D13">TRANSPOSE('Data Sheet'!B17:K17)</f>
        <v>112299.42</v>
      </c>
      <c r="G4" s="66">
        <v>1</v>
      </c>
      <c r="H4" s="68">
        <f>'Data Sheet'!$B$16</f>
        <v>42825</v>
      </c>
      <c r="I4" s="67">
        <f t="array" ref="I4:I13">TRANSPOSE('Data Sheet'!B34:K34)</f>
        <v>9282.2900000000009</v>
      </c>
      <c r="L4" s="66">
        <v>1</v>
      </c>
      <c r="M4" s="68">
        <f>'Data Sheet'!$B$16</f>
        <v>42825</v>
      </c>
      <c r="N4" s="67">
        <f t="array" ref="N4:N13">TRANSPOSE(HistoricalFS!C38:L38)</f>
        <v>137.3797021178392</v>
      </c>
    </row>
    <row r="5" spans="2:16" x14ac:dyDescent="0.25">
      <c r="B5" s="66">
        <f>B4+1</f>
        <v>2</v>
      </c>
      <c r="C5" s="68">
        <f>C4+365</f>
        <v>43190</v>
      </c>
      <c r="D5" s="67">
        <v>123249.07</v>
      </c>
      <c r="E5" s="14">
        <f>D5/D4-1</f>
        <v>9.7504065470685575E-2</v>
      </c>
      <c r="G5" s="66">
        <f>G4+1</f>
        <v>2</v>
      </c>
      <c r="H5" s="68">
        <f>H4+365</f>
        <v>43190</v>
      </c>
      <c r="I5" s="67">
        <v>28023.1</v>
      </c>
      <c r="J5" s="14">
        <f>I5/I4-1</f>
        <v>2.0189856166958795</v>
      </c>
      <c r="L5" s="66">
        <f>L4+1</f>
        <v>2</v>
      </c>
      <c r="M5" s="68">
        <f>M4+365</f>
        <v>43190</v>
      </c>
      <c r="N5" s="67">
        <v>156.47372345714081</v>
      </c>
      <c r="O5" s="14">
        <f>N5/N4-1</f>
        <v>0.13898720877210424</v>
      </c>
    </row>
    <row r="6" spans="2:16" x14ac:dyDescent="0.25">
      <c r="B6" s="66">
        <f t="shared" ref="B6:B16" si="0">B5+1</f>
        <v>3</v>
      </c>
      <c r="C6" s="68">
        <f t="shared" ref="C6:C18" si="1">C5+365</f>
        <v>43555</v>
      </c>
      <c r="D6" s="67">
        <v>157668.99</v>
      </c>
      <c r="E6" s="14">
        <f t="shared" ref="E6:E18" si="2">D6/D5-1</f>
        <v>0.27927123506895413</v>
      </c>
      <c r="G6" s="66">
        <f t="shared" ref="G6:G18" si="3">G5+1</f>
        <v>3</v>
      </c>
      <c r="H6" s="68">
        <f t="shared" ref="H6:H18" si="4">H5+365</f>
        <v>43555</v>
      </c>
      <c r="I6" s="67">
        <v>31938.690000000002</v>
      </c>
      <c r="J6" s="14">
        <f t="shared" ref="J6:J18" si="5">I6/I5-1</f>
        <v>0.13972722503934265</v>
      </c>
      <c r="L6" s="66">
        <f t="shared" ref="L6:L18" si="6">L5+1</f>
        <v>3</v>
      </c>
      <c r="M6" s="68">
        <f t="shared" ref="M6:M18" si="7">M5+365</f>
        <v>43555</v>
      </c>
      <c r="N6" s="67">
        <v>194.21207467443119</v>
      </c>
      <c r="O6" s="14">
        <f t="shared" ref="O6:O18" si="8">N6/N5-1</f>
        <v>0.24118011883079626</v>
      </c>
    </row>
    <row r="7" spans="2:16" x14ac:dyDescent="0.25">
      <c r="B7" s="66">
        <f t="shared" si="0"/>
        <v>4</v>
      </c>
      <c r="C7" s="68">
        <f t="shared" si="1"/>
        <v>43920</v>
      </c>
      <c r="D7" s="67">
        <v>139816.65</v>
      </c>
      <c r="E7" s="14">
        <f t="shared" si="2"/>
        <v>-0.11322670361495935</v>
      </c>
      <c r="G7" s="66">
        <f t="shared" si="3"/>
        <v>4</v>
      </c>
      <c r="H7" s="68">
        <f t="shared" si="4"/>
        <v>43920</v>
      </c>
      <c r="I7" s="67">
        <v>14962.32</v>
      </c>
      <c r="J7" s="14">
        <f t="shared" si="5"/>
        <v>-0.53152994064565584</v>
      </c>
      <c r="L7" s="66">
        <f t="shared" si="6"/>
        <v>4</v>
      </c>
      <c r="M7" s="68">
        <f t="shared" si="7"/>
        <v>43920</v>
      </c>
      <c r="N7" s="67">
        <v>185.6910935738444</v>
      </c>
      <c r="O7" s="14">
        <f t="shared" si="8"/>
        <v>-4.3874620642774143E-2</v>
      </c>
      <c r="P7" s="8" t="s">
        <v>154</v>
      </c>
    </row>
    <row r="8" spans="2:16" x14ac:dyDescent="0.25">
      <c r="B8" s="66">
        <f t="shared" si="0"/>
        <v>5</v>
      </c>
      <c r="C8" s="68">
        <f t="shared" si="1"/>
        <v>44285</v>
      </c>
      <c r="D8" s="67">
        <v>156477.4</v>
      </c>
      <c r="E8" s="14">
        <f t="shared" si="2"/>
        <v>0.11916141604022124</v>
      </c>
      <c r="G8" s="66">
        <f t="shared" si="3"/>
        <v>5</v>
      </c>
      <c r="H8" s="68">
        <f t="shared" si="4"/>
        <v>44285</v>
      </c>
      <c r="I8" s="67">
        <v>29984.47</v>
      </c>
      <c r="J8" s="14">
        <f t="shared" si="5"/>
        <v>1.0039987114297784</v>
      </c>
      <c r="L8" s="66">
        <f t="shared" si="6"/>
        <v>5</v>
      </c>
      <c r="M8" s="68">
        <f t="shared" si="7"/>
        <v>44285</v>
      </c>
      <c r="N8" s="67">
        <v>178.81604392481972</v>
      </c>
      <c r="O8" s="14">
        <f t="shared" si="8"/>
        <v>-3.7024121710450553E-2</v>
      </c>
    </row>
    <row r="9" spans="2:16" x14ac:dyDescent="0.25">
      <c r="B9" s="66">
        <f t="shared" si="0"/>
        <v>6</v>
      </c>
      <c r="C9" s="68">
        <f t="shared" si="1"/>
        <v>44650</v>
      </c>
      <c r="D9" s="67">
        <v>243959.17</v>
      </c>
      <c r="E9" s="14">
        <f t="shared" si="2"/>
        <v>0.55906968035000593</v>
      </c>
      <c r="G9" s="66">
        <f t="shared" si="3"/>
        <v>6</v>
      </c>
      <c r="H9" s="68">
        <f t="shared" si="4"/>
        <v>44650</v>
      </c>
      <c r="I9" s="67">
        <v>63194.55</v>
      </c>
      <c r="J9" s="14">
        <f t="shared" si="5"/>
        <v>1.1075760218539799</v>
      </c>
      <c r="L9" s="66">
        <f t="shared" si="6"/>
        <v>6</v>
      </c>
      <c r="M9" s="68">
        <f t="shared" si="7"/>
        <v>44650</v>
      </c>
      <c r="N9" s="67">
        <v>268.28765250143289</v>
      </c>
      <c r="O9" s="14">
        <f t="shared" si="8"/>
        <v>0.50035559792515061</v>
      </c>
    </row>
    <row r="10" spans="2:16" x14ac:dyDescent="0.25">
      <c r="B10" s="66">
        <f t="shared" si="0"/>
        <v>7</v>
      </c>
      <c r="C10" s="68">
        <f t="shared" si="1"/>
        <v>45015</v>
      </c>
      <c r="D10" s="67">
        <v>243352.69</v>
      </c>
      <c r="E10" s="14">
        <f t="shared" si="2"/>
        <v>-2.4859897662383723E-3</v>
      </c>
      <c r="G10" s="66">
        <f t="shared" si="3"/>
        <v>7</v>
      </c>
      <c r="H10" s="68">
        <f t="shared" si="4"/>
        <v>45015</v>
      </c>
      <c r="I10" s="67">
        <v>34554.07</v>
      </c>
      <c r="J10" s="14">
        <f t="shared" si="5"/>
        <v>-0.45321123419661979</v>
      </c>
      <c r="L10" s="66">
        <f t="shared" si="6"/>
        <v>7</v>
      </c>
      <c r="M10" s="68">
        <f t="shared" si="7"/>
        <v>45015</v>
      </c>
      <c r="N10" s="67">
        <v>297.15273084318613</v>
      </c>
      <c r="O10" s="14">
        <f t="shared" si="8"/>
        <v>0.1075900365619662</v>
      </c>
    </row>
    <row r="11" spans="2:16" x14ac:dyDescent="0.25">
      <c r="B11" s="66">
        <f t="shared" si="0"/>
        <v>8</v>
      </c>
      <c r="C11" s="68">
        <f t="shared" si="1"/>
        <v>45380</v>
      </c>
      <c r="D11" s="67">
        <v>229170.78</v>
      </c>
      <c r="E11" s="14">
        <f t="shared" si="2"/>
        <v>-5.8277186087402622E-2</v>
      </c>
      <c r="G11" s="66">
        <f t="shared" si="3"/>
        <v>8</v>
      </c>
      <c r="H11" s="68">
        <f t="shared" si="4"/>
        <v>45380</v>
      </c>
      <c r="I11" s="67">
        <v>16714.86</v>
      </c>
      <c r="J11" s="14">
        <f t="shared" si="5"/>
        <v>-0.51626942933205844</v>
      </c>
      <c r="L11" s="66">
        <f t="shared" si="6"/>
        <v>8</v>
      </c>
      <c r="M11" s="68">
        <f t="shared" si="7"/>
        <v>45380</v>
      </c>
      <c r="N11" s="67">
        <v>294.31273280730568</v>
      </c>
      <c r="O11" s="14">
        <f t="shared" si="8"/>
        <v>-9.5573681178087178E-3</v>
      </c>
    </row>
    <row r="12" spans="2:16" x14ac:dyDescent="0.25">
      <c r="B12" s="66">
        <f t="shared" si="0"/>
        <v>9</v>
      </c>
      <c r="C12" s="68">
        <f t="shared" si="1"/>
        <v>45745</v>
      </c>
      <c r="D12" s="67">
        <v>218542.51</v>
      </c>
      <c r="E12" s="14">
        <f t="shared" si="2"/>
        <v>-4.6377073028245563E-2</v>
      </c>
      <c r="G12" s="66">
        <f t="shared" si="3"/>
        <v>9</v>
      </c>
      <c r="H12" s="68">
        <f t="shared" si="4"/>
        <v>45745</v>
      </c>
      <c r="I12" s="67">
        <v>26421.879999999997</v>
      </c>
      <c r="J12" s="14">
        <f t="shared" si="5"/>
        <v>0.58074192664491342</v>
      </c>
      <c r="L12" s="66">
        <f t="shared" si="6"/>
        <v>9</v>
      </c>
      <c r="M12" s="68">
        <f t="shared" si="7"/>
        <v>45745</v>
      </c>
      <c r="N12" s="67">
        <v>276.94721832819323</v>
      </c>
      <c r="O12" s="14">
        <f t="shared" si="8"/>
        <v>-5.9003612631608804E-2</v>
      </c>
    </row>
    <row r="13" spans="2:16" x14ac:dyDescent="0.25">
      <c r="B13" s="66">
        <f t="shared" si="0"/>
        <v>10</v>
      </c>
      <c r="C13" s="68">
        <f t="shared" si="1"/>
        <v>46110</v>
      </c>
      <c r="D13" s="67">
        <v>232139.94</v>
      </c>
      <c r="E13" s="14">
        <f t="shared" si="2"/>
        <v>6.2218696033096599E-2</v>
      </c>
      <c r="G13" s="66">
        <f t="shared" si="3"/>
        <v>10</v>
      </c>
      <c r="H13" s="68">
        <f t="shared" si="4"/>
        <v>46110</v>
      </c>
      <c r="I13" s="67">
        <v>34998.31</v>
      </c>
      <c r="J13" s="14">
        <f t="shared" si="5"/>
        <v>0.32459575170275556</v>
      </c>
      <c r="L13" s="66">
        <f t="shared" si="6"/>
        <v>10</v>
      </c>
      <c r="M13" s="68">
        <f t="shared" si="7"/>
        <v>46110</v>
      </c>
      <c r="N13" s="67">
        <v>282.78892938679058</v>
      </c>
      <c r="O13" s="14">
        <f t="shared" si="8"/>
        <v>2.1093228860940227E-2</v>
      </c>
    </row>
    <row r="14" spans="2:16" x14ac:dyDescent="0.25">
      <c r="B14" s="69">
        <f t="shared" si="0"/>
        <v>11</v>
      </c>
      <c r="C14" s="70">
        <f t="shared" si="1"/>
        <v>46475</v>
      </c>
      <c r="D14" s="71">
        <f>FORECAST(B14,$D$4:$D$13,$B$4:$B$13)</f>
        <v>269041.58200000005</v>
      </c>
      <c r="E14" s="72">
        <f t="shared" si="2"/>
        <v>0.15896291693708564</v>
      </c>
      <c r="G14" s="69">
        <f t="shared" si="3"/>
        <v>11</v>
      </c>
      <c r="H14" s="70">
        <f t="shared" si="4"/>
        <v>46475</v>
      </c>
      <c r="I14" s="71">
        <f>FORECAST(G14,$I$4:$I$13,$G$4:$G$13)</f>
        <v>36877.514666666662</v>
      </c>
      <c r="J14" s="72">
        <f t="shared" si="5"/>
        <v>5.3694154565367969E-2</v>
      </c>
      <c r="L14" s="69">
        <f t="shared" si="6"/>
        <v>11</v>
      </c>
      <c r="M14" s="70">
        <f t="shared" si="7"/>
        <v>46475</v>
      </c>
      <c r="N14" s="71">
        <f>FORECAST(L14,$N$4:$N$13,$L$4:$L$13)</f>
        <v>329.75143418039642</v>
      </c>
      <c r="O14" s="72">
        <f t="shared" si="8"/>
        <v>0.16606910636650785</v>
      </c>
    </row>
    <row r="15" spans="2:16" x14ac:dyDescent="0.25">
      <c r="B15" s="69">
        <f t="shared" si="0"/>
        <v>12</v>
      </c>
      <c r="C15" s="70">
        <f t="shared" si="1"/>
        <v>46840</v>
      </c>
      <c r="D15" s="71">
        <f t="shared" ref="D15:D18" si="9">FORECAST(B15,$D$4:$D$13,$B$4:$B$13)</f>
        <v>284200.47654545458</v>
      </c>
      <c r="E15" s="72">
        <f t="shared" si="2"/>
        <v>5.6344058166646338E-2</v>
      </c>
      <c r="G15" s="69">
        <f t="shared" si="3"/>
        <v>12</v>
      </c>
      <c r="H15" s="70">
        <f t="shared" si="4"/>
        <v>46840</v>
      </c>
      <c r="I15" s="71">
        <f t="shared" ref="I15:I18" si="10">FORECAST(G15,$I$4:$I$13,$G$4:$G$13)</f>
        <v>38308.434787878781</v>
      </c>
      <c r="J15" s="72">
        <f t="shared" si="5"/>
        <v>3.8801967381644653E-2</v>
      </c>
      <c r="L15" s="69">
        <f t="shared" si="6"/>
        <v>12</v>
      </c>
      <c r="M15" s="70">
        <f t="shared" si="7"/>
        <v>46840</v>
      </c>
      <c r="N15" s="71">
        <f t="shared" ref="N15:N18" si="11">FORECAST(L15,$N$4:$N$13,$L$4:$L$13)</f>
        <v>348.3960240020142</v>
      </c>
      <c r="O15" s="72">
        <f t="shared" si="8"/>
        <v>5.654134565922142E-2</v>
      </c>
    </row>
    <row r="16" spans="2:16" x14ac:dyDescent="0.25">
      <c r="B16" s="69">
        <f t="shared" si="0"/>
        <v>13</v>
      </c>
      <c r="C16" s="70">
        <f t="shared" si="1"/>
        <v>47205</v>
      </c>
      <c r="D16" s="71">
        <f t="shared" si="9"/>
        <v>299359.37109090912</v>
      </c>
      <c r="E16" s="72">
        <f t="shared" si="2"/>
        <v>5.333873725236371E-2</v>
      </c>
      <c r="G16" s="69">
        <f t="shared" si="3"/>
        <v>13</v>
      </c>
      <c r="H16" s="70">
        <f t="shared" si="4"/>
        <v>47205</v>
      </c>
      <c r="I16" s="71">
        <f t="shared" si="10"/>
        <v>39739.354909090907</v>
      </c>
      <c r="J16" s="72">
        <f t="shared" si="5"/>
        <v>3.7352612528687379E-2</v>
      </c>
      <c r="L16" s="69">
        <f t="shared" si="6"/>
        <v>13</v>
      </c>
      <c r="M16" s="70">
        <f t="shared" si="7"/>
        <v>47205</v>
      </c>
      <c r="N16" s="71">
        <f t="shared" si="11"/>
        <v>367.04061382363204</v>
      </c>
      <c r="O16" s="72">
        <f t="shared" si="8"/>
        <v>5.3515506886238295E-2</v>
      </c>
    </row>
    <row r="17" spans="2:15" x14ac:dyDescent="0.25">
      <c r="B17" s="69">
        <f t="shared" ref="B17:B18" si="12">B16+1</f>
        <v>14</v>
      </c>
      <c r="C17" s="70">
        <f t="shared" si="1"/>
        <v>47570</v>
      </c>
      <c r="D17" s="71">
        <f t="shared" si="9"/>
        <v>314518.26563636365</v>
      </c>
      <c r="E17" s="72">
        <f t="shared" si="2"/>
        <v>5.0637781908123625E-2</v>
      </c>
      <c r="G17" s="69">
        <f t="shared" si="3"/>
        <v>14</v>
      </c>
      <c r="H17" s="70">
        <f t="shared" si="4"/>
        <v>47570</v>
      </c>
      <c r="I17" s="71">
        <f t="shared" si="10"/>
        <v>41170.275030303026</v>
      </c>
      <c r="J17" s="72">
        <f t="shared" si="5"/>
        <v>3.600763335201429E-2</v>
      </c>
      <c r="L17" s="69">
        <f t="shared" si="6"/>
        <v>14</v>
      </c>
      <c r="M17" s="70">
        <f t="shared" si="7"/>
        <v>47570</v>
      </c>
      <c r="N17" s="71">
        <f t="shared" si="11"/>
        <v>385.68520364524989</v>
      </c>
      <c r="O17" s="72">
        <f t="shared" si="8"/>
        <v>5.07970756352778E-2</v>
      </c>
    </row>
    <row r="18" spans="2:15" x14ac:dyDescent="0.25">
      <c r="B18" s="69">
        <f t="shared" si="12"/>
        <v>15</v>
      </c>
      <c r="C18" s="70">
        <f t="shared" si="1"/>
        <v>47935</v>
      </c>
      <c r="D18" s="71">
        <f t="shared" si="9"/>
        <v>329677.16018181818</v>
      </c>
      <c r="E18" s="72">
        <f t="shared" si="2"/>
        <v>4.8197183444286029E-2</v>
      </c>
      <c r="G18" s="69">
        <f t="shared" si="3"/>
        <v>15</v>
      </c>
      <c r="H18" s="70">
        <f t="shared" si="4"/>
        <v>47935</v>
      </c>
      <c r="I18" s="71">
        <f t="shared" si="10"/>
        <v>42601.195151515145</v>
      </c>
      <c r="J18" s="72">
        <f t="shared" si="5"/>
        <v>3.4756146762655815E-2</v>
      </c>
      <c r="L18" s="69">
        <f t="shared" si="6"/>
        <v>15</v>
      </c>
      <c r="M18" s="70">
        <f t="shared" si="7"/>
        <v>47935</v>
      </c>
      <c r="N18" s="71">
        <f t="shared" si="11"/>
        <v>404.32979346686767</v>
      </c>
      <c r="O18" s="72">
        <f t="shared" si="8"/>
        <v>4.8341470311541679E-2</v>
      </c>
    </row>
  </sheetData>
  <mergeCells count="3">
    <mergeCell ref="B2:E2"/>
    <mergeCell ref="G2:J2"/>
    <mergeCell ref="L2:O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93"/>
  <sheetViews>
    <sheetView topLeftCell="A13" workbookViewId="0">
      <selection activeCell="K26" sqref="K26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1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25">
      <c r="A2" s="1" t="s">
        <v>2</v>
      </c>
      <c r="B2" s="2">
        <v>2.1</v>
      </c>
      <c r="E2" s="76" t="s">
        <v>3</v>
      </c>
      <c r="F2" s="76"/>
      <c r="G2" s="76"/>
      <c r="H2" s="76"/>
      <c r="I2" s="76"/>
      <c r="J2" s="76"/>
      <c r="K2" s="76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1249.0929676893836</v>
      </c>
    </row>
    <row r="7" spans="1:11" x14ac:dyDescent="0.25">
      <c r="A7" s="2" t="s">
        <v>7</v>
      </c>
      <c r="B7">
        <v>1</v>
      </c>
    </row>
    <row r="8" spans="1:11" x14ac:dyDescent="0.25">
      <c r="A8" s="2" t="s">
        <v>8</v>
      </c>
      <c r="B8">
        <v>184.15</v>
      </c>
    </row>
    <row r="9" spans="1:11" x14ac:dyDescent="0.25">
      <c r="A9" s="2" t="s">
        <v>9</v>
      </c>
      <c r="B9">
        <v>230020.47</v>
      </c>
    </row>
    <row r="15" spans="1:11" x14ac:dyDescent="0.25">
      <c r="A15" s="1" t="s">
        <v>10</v>
      </c>
    </row>
    <row r="16" spans="1:11" s="5" customFormat="1" x14ac:dyDescent="0.25">
      <c r="A16" s="3" t="s">
        <v>11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25">
      <c r="A17" s="6" t="s">
        <v>12</v>
      </c>
      <c r="B17">
        <v>112299.42</v>
      </c>
      <c r="C17">
        <v>123249.07</v>
      </c>
      <c r="D17">
        <v>157668.99</v>
      </c>
      <c r="E17">
        <v>139816.65</v>
      </c>
      <c r="F17">
        <v>156477.4</v>
      </c>
      <c r="G17">
        <v>243959.17</v>
      </c>
      <c r="H17">
        <v>243352.69</v>
      </c>
      <c r="I17">
        <v>229170.78</v>
      </c>
      <c r="J17">
        <v>218542.51</v>
      </c>
      <c r="K17">
        <v>232139.94</v>
      </c>
    </row>
    <row r="18" spans="1:11" s="6" customFormat="1" x14ac:dyDescent="0.25">
      <c r="A18" s="2" t="s">
        <v>13</v>
      </c>
      <c r="B18">
        <v>43843.03</v>
      </c>
      <c r="C18">
        <v>46137.01</v>
      </c>
      <c r="D18">
        <v>60877.05</v>
      </c>
      <c r="E18">
        <v>58039.99</v>
      </c>
      <c r="F18">
        <v>55100.81</v>
      </c>
      <c r="G18">
        <v>91076.61</v>
      </c>
      <c r="H18">
        <v>116597.19</v>
      </c>
      <c r="I18">
        <v>97506.39</v>
      </c>
      <c r="J18">
        <v>95097.3</v>
      </c>
      <c r="K18">
        <v>92628.07</v>
      </c>
    </row>
    <row r="19" spans="1:11" s="6" customFormat="1" x14ac:dyDescent="0.25">
      <c r="A19" s="2" t="s">
        <v>14</v>
      </c>
      <c r="B19">
        <v>4538.13</v>
      </c>
      <c r="C19">
        <v>-99.31</v>
      </c>
      <c r="D19">
        <v>96.71</v>
      </c>
      <c r="E19">
        <v>565.24</v>
      </c>
      <c r="F19">
        <v>-1516.77</v>
      </c>
      <c r="G19">
        <v>7597.87</v>
      </c>
      <c r="H19">
        <v>3358.89</v>
      </c>
      <c r="I19">
        <v>-4409.3500000000004</v>
      </c>
      <c r="J19">
        <v>96.65</v>
      </c>
      <c r="K19">
        <v>-989.62</v>
      </c>
    </row>
    <row r="20" spans="1:11" s="6" customFormat="1" x14ac:dyDescent="0.25">
      <c r="A20" s="2" t="s">
        <v>15</v>
      </c>
      <c r="B20">
        <v>5220.83</v>
      </c>
      <c r="C20">
        <v>4440.43</v>
      </c>
      <c r="D20">
        <v>5316.56</v>
      </c>
      <c r="E20">
        <v>5319.92</v>
      </c>
      <c r="F20">
        <v>5708.42</v>
      </c>
      <c r="G20">
        <v>8028.29</v>
      </c>
      <c r="H20">
        <v>9526.91</v>
      </c>
      <c r="I20">
        <v>16612.61</v>
      </c>
      <c r="J20">
        <v>13124.85</v>
      </c>
      <c r="K20">
        <v>14333.15</v>
      </c>
    </row>
    <row r="21" spans="1:11" s="6" customFormat="1" x14ac:dyDescent="0.25">
      <c r="A21" s="2" t="s">
        <v>16</v>
      </c>
      <c r="B21">
        <v>15799.14</v>
      </c>
      <c r="C21">
        <v>16955.79</v>
      </c>
      <c r="D21">
        <v>20734.28</v>
      </c>
      <c r="E21">
        <v>21232.69</v>
      </c>
      <c r="F21">
        <v>20744.93</v>
      </c>
      <c r="G21">
        <v>28834.06</v>
      </c>
      <c r="H21">
        <v>33144.83</v>
      </c>
      <c r="I21">
        <v>40116.910000000003</v>
      </c>
      <c r="J21">
        <v>38700.5</v>
      </c>
      <c r="K21">
        <v>37485.96</v>
      </c>
    </row>
    <row r="22" spans="1:11" s="6" customFormat="1" x14ac:dyDescent="0.25">
      <c r="A22" s="2" t="s">
        <v>17</v>
      </c>
      <c r="B22">
        <v>17252.22</v>
      </c>
      <c r="C22">
        <v>17077.509999999998</v>
      </c>
      <c r="D22">
        <v>18758.87</v>
      </c>
      <c r="E22">
        <v>18533.580000000002</v>
      </c>
      <c r="F22">
        <v>19908.810000000001</v>
      </c>
      <c r="G22">
        <v>23264.1</v>
      </c>
      <c r="H22">
        <v>22419.32</v>
      </c>
      <c r="I22">
        <v>24509.58</v>
      </c>
      <c r="J22">
        <v>24888.99</v>
      </c>
      <c r="K22">
        <v>25998.98</v>
      </c>
    </row>
    <row r="23" spans="1:11" s="6" customFormat="1" x14ac:dyDescent="0.25">
      <c r="A23" s="2" t="s">
        <v>18</v>
      </c>
      <c r="B23">
        <v>13772.32</v>
      </c>
      <c r="C23">
        <v>14423.87</v>
      </c>
      <c r="D23">
        <v>16917.14</v>
      </c>
      <c r="E23">
        <v>15599.07</v>
      </c>
      <c r="F23">
        <v>17509.77</v>
      </c>
      <c r="G23">
        <v>27445.67</v>
      </c>
      <c r="H23">
        <v>25519.919999999998</v>
      </c>
      <c r="I23">
        <v>14453.57</v>
      </c>
      <c r="J23">
        <v>12137.26</v>
      </c>
      <c r="K23">
        <v>13348.99</v>
      </c>
    </row>
    <row r="24" spans="1:11" s="6" customFormat="1" x14ac:dyDescent="0.25">
      <c r="A24" s="2" t="s">
        <v>19</v>
      </c>
      <c r="B24">
        <v>7806.38</v>
      </c>
      <c r="C24">
        <v>2681.96</v>
      </c>
      <c r="D24">
        <v>5843.58</v>
      </c>
      <c r="E24">
        <v>4193.58</v>
      </c>
      <c r="F24">
        <v>5483.63</v>
      </c>
      <c r="G24">
        <v>9418.36</v>
      </c>
      <c r="H24">
        <v>7203.25</v>
      </c>
      <c r="I24">
        <v>9314.4500000000007</v>
      </c>
      <c r="J24">
        <v>9391.81</v>
      </c>
      <c r="K24">
        <v>13002.73</v>
      </c>
    </row>
    <row r="25" spans="1:11" s="6" customFormat="1" x14ac:dyDescent="0.25">
      <c r="A25" s="6" t="s">
        <v>20</v>
      </c>
      <c r="B25">
        <v>-3789.11</v>
      </c>
      <c r="C25">
        <v>10898.41</v>
      </c>
      <c r="D25">
        <v>1524.31</v>
      </c>
      <c r="E25">
        <v>-2883.63</v>
      </c>
      <c r="F25">
        <v>179.78</v>
      </c>
      <c r="G25">
        <v>1299.99</v>
      </c>
      <c r="H25">
        <v>1568.86</v>
      </c>
      <c r="I25">
        <v>-6005.23</v>
      </c>
      <c r="J25">
        <v>876.7</v>
      </c>
      <c r="K25">
        <v>737.82</v>
      </c>
    </row>
    <row r="26" spans="1:11" s="6" customFormat="1" x14ac:dyDescent="0.25">
      <c r="A26" s="6" t="s">
        <v>21</v>
      </c>
      <c r="B26">
        <v>5672.88</v>
      </c>
      <c r="C26">
        <v>5741.7</v>
      </c>
      <c r="D26">
        <v>7341.83</v>
      </c>
      <c r="E26">
        <v>8440.73</v>
      </c>
      <c r="F26">
        <v>9233.64</v>
      </c>
      <c r="G26">
        <v>9100.8700000000008</v>
      </c>
      <c r="H26">
        <v>9335.2000000000007</v>
      </c>
      <c r="I26">
        <v>9882.16</v>
      </c>
      <c r="J26">
        <v>10421.33</v>
      </c>
      <c r="K26">
        <v>11954.51</v>
      </c>
    </row>
    <row r="27" spans="1:11" s="6" customFormat="1" x14ac:dyDescent="0.25">
      <c r="A27" s="6" t="s">
        <v>22</v>
      </c>
      <c r="B27">
        <v>5072.2</v>
      </c>
      <c r="C27">
        <v>5454.74</v>
      </c>
      <c r="D27">
        <v>7660.1</v>
      </c>
      <c r="E27">
        <v>7533.46</v>
      </c>
      <c r="F27">
        <v>7606.71</v>
      </c>
      <c r="G27">
        <v>5462.2</v>
      </c>
      <c r="H27">
        <v>6298.7</v>
      </c>
      <c r="I27">
        <v>7507.57</v>
      </c>
      <c r="J27">
        <v>7340.95</v>
      </c>
      <c r="K27">
        <v>7167.06</v>
      </c>
    </row>
    <row r="28" spans="1:11" s="6" customFormat="1" x14ac:dyDescent="0.25">
      <c r="A28" s="6" t="s">
        <v>23</v>
      </c>
      <c r="B28">
        <v>-1390.56</v>
      </c>
      <c r="C28">
        <v>21135.16</v>
      </c>
      <c r="D28">
        <v>15840.6</v>
      </c>
      <c r="E28">
        <v>-1394.76</v>
      </c>
      <c r="F28">
        <v>13843.69</v>
      </c>
      <c r="G28">
        <v>50226.87</v>
      </c>
      <c r="H28">
        <v>18235.12</v>
      </c>
      <c r="I28">
        <v>-1147.04</v>
      </c>
      <c r="J28">
        <v>8412.8700000000008</v>
      </c>
      <c r="K28">
        <v>15968.69</v>
      </c>
    </row>
    <row r="29" spans="1:11" s="6" customFormat="1" x14ac:dyDescent="0.25">
      <c r="A29" s="6" t="s">
        <v>24</v>
      </c>
      <c r="B29">
        <v>2778.01</v>
      </c>
      <c r="C29">
        <v>3392.33</v>
      </c>
      <c r="D29">
        <v>6718.43</v>
      </c>
      <c r="E29">
        <v>-2568.41</v>
      </c>
      <c r="F29">
        <v>5653.9</v>
      </c>
      <c r="G29">
        <v>8477.5499999999993</v>
      </c>
      <c r="H29">
        <v>10159.77</v>
      </c>
      <c r="I29">
        <v>3762.57</v>
      </c>
      <c r="J29">
        <v>5239.09</v>
      </c>
      <c r="K29">
        <v>5082.87</v>
      </c>
    </row>
    <row r="30" spans="1:11" s="6" customFormat="1" x14ac:dyDescent="0.25">
      <c r="A30" s="6" t="s">
        <v>25</v>
      </c>
      <c r="B30">
        <v>-4240.8</v>
      </c>
      <c r="C30">
        <v>13434.33</v>
      </c>
      <c r="D30">
        <v>10218.33</v>
      </c>
      <c r="E30">
        <v>1556.54</v>
      </c>
      <c r="F30">
        <v>7490.22</v>
      </c>
      <c r="G30">
        <v>40153.93</v>
      </c>
      <c r="H30">
        <v>8760.4</v>
      </c>
      <c r="I30">
        <v>-4437.4399999999996</v>
      </c>
      <c r="J30">
        <v>3420.51</v>
      </c>
      <c r="K30">
        <v>10793.87</v>
      </c>
    </row>
    <row r="31" spans="1:11" s="6" customFormat="1" x14ac:dyDescent="0.25">
      <c r="A31" s="6" t="s">
        <v>26</v>
      </c>
      <c r="B31">
        <v>970.24</v>
      </c>
      <c r="C31">
        <v>1144.95</v>
      </c>
      <c r="D31">
        <v>1488.42</v>
      </c>
      <c r="E31">
        <v>1144.95</v>
      </c>
      <c r="F31">
        <v>2994.02</v>
      </c>
      <c r="G31">
        <v>6228.17</v>
      </c>
      <c r="H31">
        <v>4396.46</v>
      </c>
      <c r="I31">
        <v>4490.78</v>
      </c>
      <c r="J31">
        <v>4490.78</v>
      </c>
      <c r="K31">
        <v>4989.76</v>
      </c>
    </row>
    <row r="32" spans="1:11" s="6" customFormat="1" x14ac:dyDescent="0.25">
      <c r="A32" s="2" t="s">
        <v>117</v>
      </c>
      <c r="B32" s="19">
        <f>B29/B28</f>
        <v>-1.997763490967668</v>
      </c>
      <c r="C32" s="19">
        <f t="shared" ref="C32:K32" si="0">C29/C28</f>
        <v>0.1605064735729467</v>
      </c>
      <c r="D32" s="19">
        <f t="shared" si="0"/>
        <v>0.42412724265494994</v>
      </c>
      <c r="E32" s="19">
        <f t="shared" si="0"/>
        <v>1.8414709340675097</v>
      </c>
      <c r="F32" s="19">
        <f t="shared" si="0"/>
        <v>0.40840989649435949</v>
      </c>
      <c r="G32" s="19">
        <f t="shared" si="0"/>
        <v>0.16878515424114621</v>
      </c>
      <c r="H32" s="19">
        <f t="shared" si="0"/>
        <v>0.55715399734139404</v>
      </c>
      <c r="I32" s="19">
        <f t="shared" si="0"/>
        <v>-3.2802430603989401</v>
      </c>
      <c r="J32" s="19">
        <f t="shared" si="0"/>
        <v>0.62274705302708822</v>
      </c>
      <c r="K32" s="19">
        <f t="shared" si="0"/>
        <v>0.31830225272079299</v>
      </c>
    </row>
    <row r="33" spans="1:11" x14ac:dyDescent="0.25">
      <c r="A33" s="6"/>
    </row>
    <row r="34" spans="1:11" x14ac:dyDescent="0.25">
      <c r="A34" s="2" t="s">
        <v>64</v>
      </c>
      <c r="B34" s="2">
        <f>B26+B27+B29+B30</f>
        <v>9282.2900000000009</v>
      </c>
      <c r="C34" s="2">
        <f t="shared" ref="C34:K34" si="1">C26+C27+C29+C30</f>
        <v>28023.1</v>
      </c>
      <c r="D34" s="2">
        <f t="shared" si="1"/>
        <v>31938.690000000002</v>
      </c>
      <c r="E34" s="2">
        <f t="shared" si="1"/>
        <v>14962.32</v>
      </c>
      <c r="F34" s="2">
        <f t="shared" si="1"/>
        <v>29984.47</v>
      </c>
      <c r="G34" s="2">
        <f t="shared" si="1"/>
        <v>63194.55</v>
      </c>
      <c r="H34" s="2">
        <f t="shared" si="1"/>
        <v>34554.07</v>
      </c>
      <c r="I34" s="2">
        <f t="shared" si="1"/>
        <v>16714.86</v>
      </c>
      <c r="J34" s="2">
        <f t="shared" si="1"/>
        <v>26421.879999999997</v>
      </c>
      <c r="K34" s="2">
        <f t="shared" si="1"/>
        <v>34998.31</v>
      </c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27</v>
      </c>
    </row>
    <row r="41" spans="1:11" s="5" customFormat="1" x14ac:dyDescent="0.25">
      <c r="A41" s="3" t="s">
        <v>11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6" customFormat="1" x14ac:dyDescent="0.25">
      <c r="A42" s="6" t="s">
        <v>12</v>
      </c>
      <c r="B42">
        <v>58687.31</v>
      </c>
      <c r="C42">
        <v>54771.39</v>
      </c>
      <c r="D42">
        <v>53904.71</v>
      </c>
      <c r="E42">
        <v>53648.3</v>
      </c>
      <c r="F42">
        <v>56218.11</v>
      </c>
      <c r="G42">
        <v>53178.12</v>
      </c>
      <c r="H42">
        <v>58689.29</v>
      </c>
      <c r="I42">
        <v>57002.400000000001</v>
      </c>
      <c r="J42">
        <v>63270.13</v>
      </c>
      <c r="K42">
        <v>60794.29</v>
      </c>
    </row>
    <row r="43" spans="1:11" s="6" customFormat="1" x14ac:dyDescent="0.25">
      <c r="A43" s="6" t="s">
        <v>28</v>
      </c>
      <c r="B43">
        <v>52086.68</v>
      </c>
      <c r="C43">
        <v>48076.92</v>
      </c>
      <c r="D43">
        <v>47788.92</v>
      </c>
      <c r="E43">
        <v>47744.81</v>
      </c>
      <c r="F43">
        <v>49658.89</v>
      </c>
      <c r="G43">
        <v>45750.58</v>
      </c>
      <c r="H43">
        <v>49792.75</v>
      </c>
      <c r="I43">
        <v>48802.7</v>
      </c>
      <c r="J43">
        <v>53441.47</v>
      </c>
      <c r="K43">
        <v>51529.95</v>
      </c>
    </row>
    <row r="44" spans="1:11" s="6" customFormat="1" x14ac:dyDescent="0.25">
      <c r="A44" s="6" t="s">
        <v>20</v>
      </c>
      <c r="B44">
        <v>-381.56</v>
      </c>
      <c r="C44">
        <v>-5.51</v>
      </c>
      <c r="D44">
        <v>616.67999999999995</v>
      </c>
      <c r="E44">
        <v>141.82</v>
      </c>
      <c r="F44">
        <v>149.19</v>
      </c>
      <c r="G44">
        <v>236.27</v>
      </c>
      <c r="H44">
        <v>-6.11</v>
      </c>
      <c r="I44">
        <v>465.17</v>
      </c>
      <c r="J44">
        <v>42.49</v>
      </c>
      <c r="K44">
        <v>-16.649999999999999</v>
      </c>
    </row>
    <row r="45" spans="1:11" s="6" customFormat="1" x14ac:dyDescent="0.25">
      <c r="A45" s="6" t="s">
        <v>21</v>
      </c>
      <c r="B45">
        <v>2567.9499999999998</v>
      </c>
      <c r="C45">
        <v>2535.4299999999998</v>
      </c>
      <c r="D45">
        <v>2596.7399999999998</v>
      </c>
      <c r="E45">
        <v>2569.19</v>
      </c>
      <c r="F45">
        <v>2719.97</v>
      </c>
      <c r="G45">
        <v>2744.3</v>
      </c>
      <c r="H45">
        <v>2893</v>
      </c>
      <c r="I45">
        <v>3048.81</v>
      </c>
      <c r="J45">
        <v>3268.4</v>
      </c>
      <c r="K45">
        <v>3639.65</v>
      </c>
    </row>
    <row r="46" spans="1:11" s="6" customFormat="1" x14ac:dyDescent="0.25">
      <c r="A46" s="6" t="s">
        <v>22</v>
      </c>
      <c r="B46">
        <v>1842.25</v>
      </c>
      <c r="C46">
        <v>1776.71</v>
      </c>
      <c r="D46">
        <v>1971.4</v>
      </c>
      <c r="E46">
        <v>1804.09</v>
      </c>
      <c r="F46">
        <v>1788.75</v>
      </c>
      <c r="G46">
        <v>1852.43</v>
      </c>
      <c r="H46">
        <v>1774.96</v>
      </c>
      <c r="I46">
        <v>1747.29</v>
      </c>
      <c r="J46">
        <v>1792.38</v>
      </c>
      <c r="K46">
        <v>1770.51</v>
      </c>
    </row>
    <row r="47" spans="1:11" s="6" customFormat="1" x14ac:dyDescent="0.25">
      <c r="A47" s="6" t="s">
        <v>23</v>
      </c>
      <c r="B47">
        <v>1808.87</v>
      </c>
      <c r="C47">
        <v>2376.8200000000002</v>
      </c>
      <c r="D47">
        <v>2164.33</v>
      </c>
      <c r="E47">
        <v>1672.03</v>
      </c>
      <c r="F47">
        <v>2199.69</v>
      </c>
      <c r="G47">
        <v>3067.08</v>
      </c>
      <c r="H47">
        <v>4222.47</v>
      </c>
      <c r="I47">
        <v>3868.77</v>
      </c>
      <c r="J47">
        <v>4810.37</v>
      </c>
      <c r="K47">
        <v>3837.53</v>
      </c>
    </row>
    <row r="48" spans="1:11" s="6" customFormat="1" x14ac:dyDescent="0.25">
      <c r="A48" s="6" t="s">
        <v>24</v>
      </c>
      <c r="B48">
        <v>1254.31</v>
      </c>
      <c r="C48">
        <v>1458.25</v>
      </c>
      <c r="D48">
        <v>1405.49</v>
      </c>
      <c r="E48">
        <v>1376.54</v>
      </c>
      <c r="F48">
        <v>998.81</v>
      </c>
      <c r="G48">
        <v>1059.72</v>
      </c>
      <c r="H48">
        <v>1039.3800000000001</v>
      </c>
      <c r="I48">
        <v>1138.4000000000001</v>
      </c>
      <c r="J48">
        <v>1845.37</v>
      </c>
      <c r="K48">
        <v>1452.29</v>
      </c>
    </row>
    <row r="49" spans="1:11" s="6" customFormat="1" x14ac:dyDescent="0.25">
      <c r="A49" s="6" t="s">
        <v>25</v>
      </c>
      <c r="B49">
        <v>611.48</v>
      </c>
      <c r="C49">
        <v>959.61</v>
      </c>
      <c r="D49">
        <v>833.45</v>
      </c>
      <c r="E49">
        <v>326.64</v>
      </c>
      <c r="F49">
        <v>1300.81</v>
      </c>
      <c r="G49">
        <v>2077.6799999999998</v>
      </c>
      <c r="H49">
        <v>3101.75</v>
      </c>
      <c r="I49">
        <v>2688.7</v>
      </c>
      <c r="J49">
        <v>2925.74</v>
      </c>
      <c r="K49">
        <v>2318.35</v>
      </c>
    </row>
    <row r="50" spans="1:11" x14ac:dyDescent="0.25">
      <c r="A50" s="6" t="s">
        <v>29</v>
      </c>
      <c r="B50">
        <v>6600.63</v>
      </c>
      <c r="C50">
        <v>6694.47</v>
      </c>
      <c r="D50">
        <v>6115.79</v>
      </c>
      <c r="E50">
        <v>5903.49</v>
      </c>
      <c r="F50">
        <v>6559.22</v>
      </c>
      <c r="G50">
        <v>7427.54</v>
      </c>
      <c r="H50">
        <v>8896.5400000000009</v>
      </c>
      <c r="I50">
        <v>8199.7000000000007</v>
      </c>
      <c r="J50">
        <v>9828.66</v>
      </c>
      <c r="K50">
        <v>9264.34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30</v>
      </c>
    </row>
    <row r="56" spans="1:11" s="5" customFormat="1" x14ac:dyDescent="0.25">
      <c r="A56" s="3" t="s">
        <v>11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25">
      <c r="A57" s="6" t="s">
        <v>31</v>
      </c>
      <c r="B57">
        <v>970.24</v>
      </c>
      <c r="C57">
        <v>1144.95</v>
      </c>
      <c r="D57">
        <v>1144.94</v>
      </c>
      <c r="E57">
        <v>1144.95</v>
      </c>
      <c r="F57">
        <v>1197.6099999999999</v>
      </c>
      <c r="G57">
        <v>1221.21</v>
      </c>
      <c r="H57">
        <v>1221.24</v>
      </c>
      <c r="I57">
        <v>1247.44</v>
      </c>
      <c r="J57">
        <v>1247.44</v>
      </c>
      <c r="K57">
        <v>1247.44</v>
      </c>
    </row>
    <row r="58" spans="1:11" x14ac:dyDescent="0.25">
      <c r="A58" s="6" t="s">
        <v>32</v>
      </c>
      <c r="B58">
        <v>36849.08</v>
      </c>
      <c r="C58">
        <v>59725.67</v>
      </c>
      <c r="D58">
        <v>67780.14</v>
      </c>
      <c r="E58">
        <v>72431.350000000006</v>
      </c>
      <c r="F58">
        <v>73041.16</v>
      </c>
      <c r="G58">
        <v>113221.83</v>
      </c>
      <c r="H58">
        <v>101860.86</v>
      </c>
      <c r="I58">
        <v>90788.32</v>
      </c>
      <c r="J58">
        <v>89922.19</v>
      </c>
      <c r="K58">
        <v>100920.21</v>
      </c>
    </row>
    <row r="59" spans="1:11" x14ac:dyDescent="0.25">
      <c r="A59" s="6" t="s">
        <v>33</v>
      </c>
      <c r="B59">
        <v>83014.490000000005</v>
      </c>
      <c r="C59">
        <v>92147.05</v>
      </c>
      <c r="D59">
        <v>100816.22</v>
      </c>
      <c r="E59">
        <v>116328.2</v>
      </c>
      <c r="F59">
        <v>88501.41</v>
      </c>
      <c r="G59">
        <v>75561.350000000006</v>
      </c>
      <c r="H59">
        <v>84893.05</v>
      </c>
      <c r="I59">
        <v>87082.12</v>
      </c>
      <c r="J59">
        <v>94801.05</v>
      </c>
      <c r="K59">
        <v>92381.68</v>
      </c>
    </row>
    <row r="60" spans="1:11" x14ac:dyDescent="0.25">
      <c r="A60" s="6" t="s">
        <v>34</v>
      </c>
      <c r="B60">
        <v>51613.56</v>
      </c>
      <c r="C60">
        <v>55704.47</v>
      </c>
      <c r="D60">
        <v>63032.14</v>
      </c>
      <c r="E60">
        <v>59244.62</v>
      </c>
      <c r="F60">
        <v>81169.009999999995</v>
      </c>
      <c r="G60">
        <v>92417.279999999999</v>
      </c>
      <c r="H60">
        <v>97420.63</v>
      </c>
      <c r="I60">
        <v>90194.54</v>
      </c>
      <c r="J60">
        <v>89487.9</v>
      </c>
      <c r="K60">
        <v>101965.29</v>
      </c>
    </row>
    <row r="61" spans="1:11" s="1" customFormat="1" x14ac:dyDescent="0.25">
      <c r="A61" s="1" t="s">
        <v>35</v>
      </c>
      <c r="B61">
        <v>172447.37</v>
      </c>
      <c r="C61">
        <v>208722.14</v>
      </c>
      <c r="D61">
        <v>232773.44</v>
      </c>
      <c r="E61">
        <v>249149.12</v>
      </c>
      <c r="F61">
        <v>243909.19</v>
      </c>
      <c r="G61">
        <v>282421.67</v>
      </c>
      <c r="H61">
        <v>285395.78000000003</v>
      </c>
      <c r="I61">
        <v>269312.42</v>
      </c>
      <c r="J61">
        <v>275458.58</v>
      </c>
      <c r="K61">
        <v>296514.62</v>
      </c>
    </row>
    <row r="62" spans="1:11" x14ac:dyDescent="0.25">
      <c r="A62" s="6" t="s">
        <v>36</v>
      </c>
      <c r="B62">
        <v>92006.55</v>
      </c>
      <c r="C62">
        <v>96104.89</v>
      </c>
      <c r="D62">
        <v>124441.91</v>
      </c>
      <c r="E62">
        <v>134550.66</v>
      </c>
      <c r="F62">
        <v>135775.18</v>
      </c>
      <c r="G62">
        <v>133287.82999999999</v>
      </c>
      <c r="H62">
        <v>146621.46</v>
      </c>
      <c r="I62">
        <v>148814.38</v>
      </c>
      <c r="J62">
        <v>150914.06</v>
      </c>
      <c r="K62">
        <v>179908.13</v>
      </c>
    </row>
    <row r="63" spans="1:11" x14ac:dyDescent="0.25">
      <c r="A63" s="6" t="s">
        <v>37</v>
      </c>
      <c r="B63">
        <v>15784.13</v>
      </c>
      <c r="C63">
        <v>16614.41</v>
      </c>
      <c r="D63">
        <v>18641.21</v>
      </c>
      <c r="E63">
        <v>19496.830000000002</v>
      </c>
      <c r="F63">
        <v>19007.400000000001</v>
      </c>
      <c r="G63">
        <v>22045.55</v>
      </c>
      <c r="H63">
        <v>31213.02</v>
      </c>
      <c r="I63">
        <v>34355.53</v>
      </c>
      <c r="J63">
        <v>41622.35</v>
      </c>
      <c r="K63">
        <v>28496.71</v>
      </c>
    </row>
    <row r="64" spans="1:11" x14ac:dyDescent="0.25">
      <c r="A64" s="6" t="s">
        <v>38</v>
      </c>
      <c r="B64">
        <v>12457.12</v>
      </c>
      <c r="C64">
        <v>17899.47</v>
      </c>
      <c r="D64">
        <v>5738.17</v>
      </c>
      <c r="E64">
        <v>6285.18</v>
      </c>
      <c r="F64">
        <v>10681.93</v>
      </c>
      <c r="G64">
        <v>13139.85</v>
      </c>
      <c r="H64">
        <v>8410.31</v>
      </c>
      <c r="I64">
        <v>6257.57</v>
      </c>
      <c r="J64">
        <v>6194.11</v>
      </c>
      <c r="K64">
        <v>7088.85</v>
      </c>
    </row>
    <row r="65" spans="1:11" x14ac:dyDescent="0.25">
      <c r="A65" s="6" t="s">
        <v>39</v>
      </c>
      <c r="B65">
        <v>52199.57</v>
      </c>
      <c r="C65">
        <v>78103.37</v>
      </c>
      <c r="D65">
        <v>83952.15</v>
      </c>
      <c r="E65">
        <v>88816.45</v>
      </c>
      <c r="F65">
        <v>78444.679999999993</v>
      </c>
      <c r="G65">
        <v>113948.44</v>
      </c>
      <c r="H65">
        <v>99150.99</v>
      </c>
      <c r="I65">
        <v>79884.94</v>
      </c>
      <c r="J65">
        <v>76728.06</v>
      </c>
      <c r="K65">
        <v>81020.929999999993</v>
      </c>
    </row>
    <row r="66" spans="1:11" s="1" customFormat="1" x14ac:dyDescent="0.25">
      <c r="A66" s="1" t="s">
        <v>35</v>
      </c>
      <c r="B66">
        <v>172447.37</v>
      </c>
      <c r="C66">
        <v>208722.14</v>
      </c>
      <c r="D66">
        <v>232773.44</v>
      </c>
      <c r="E66">
        <v>249149.12</v>
      </c>
      <c r="F66">
        <v>243909.19</v>
      </c>
      <c r="G66">
        <v>282421.67</v>
      </c>
      <c r="H66">
        <v>285395.78000000003</v>
      </c>
      <c r="I66">
        <v>269312.42</v>
      </c>
      <c r="J66">
        <v>275458.58</v>
      </c>
      <c r="K66">
        <v>296514.62</v>
      </c>
    </row>
    <row r="67" spans="1:11" s="6" customFormat="1" x14ac:dyDescent="0.25">
      <c r="A67" s="6" t="s">
        <v>40</v>
      </c>
      <c r="B67">
        <v>11586.82</v>
      </c>
      <c r="C67">
        <v>12415.52</v>
      </c>
      <c r="D67">
        <v>11811</v>
      </c>
      <c r="E67">
        <v>7884.91</v>
      </c>
      <c r="F67">
        <v>9539.84</v>
      </c>
      <c r="G67">
        <v>12246.43</v>
      </c>
      <c r="H67">
        <v>8257.24</v>
      </c>
      <c r="I67">
        <v>6263.53</v>
      </c>
      <c r="J67">
        <v>5260.06</v>
      </c>
      <c r="K67">
        <v>4916.8900000000003</v>
      </c>
    </row>
    <row r="68" spans="1:11" x14ac:dyDescent="0.25">
      <c r="A68" s="6" t="s">
        <v>41</v>
      </c>
      <c r="B68">
        <v>24803.82</v>
      </c>
      <c r="C68">
        <v>28331.040000000001</v>
      </c>
      <c r="D68">
        <v>31656.1</v>
      </c>
      <c r="E68">
        <v>31068.720000000001</v>
      </c>
      <c r="F68">
        <v>33276.379999999997</v>
      </c>
      <c r="G68">
        <v>48824.39</v>
      </c>
      <c r="H68">
        <v>54415.33</v>
      </c>
      <c r="I68">
        <v>49157.51</v>
      </c>
      <c r="J68">
        <v>44589.94</v>
      </c>
      <c r="K68">
        <v>47249.22</v>
      </c>
    </row>
    <row r="69" spans="1:11" x14ac:dyDescent="0.25">
      <c r="A69" s="2" t="s">
        <v>42</v>
      </c>
      <c r="B69">
        <v>4921.05</v>
      </c>
      <c r="C69">
        <v>7937.85</v>
      </c>
      <c r="D69">
        <v>3341.37</v>
      </c>
      <c r="E69">
        <v>8054.72</v>
      </c>
      <c r="F69">
        <v>5782.18</v>
      </c>
      <c r="G69">
        <v>15898.93</v>
      </c>
      <c r="H69">
        <v>13357.26</v>
      </c>
      <c r="I69">
        <v>8677.7199999999993</v>
      </c>
      <c r="J69">
        <v>11646.98</v>
      </c>
      <c r="K69">
        <v>10057.530000000001</v>
      </c>
    </row>
    <row r="70" spans="1:11" x14ac:dyDescent="0.25">
      <c r="A70" s="2" t="s">
        <v>43</v>
      </c>
      <c r="B70">
        <v>970436562</v>
      </c>
      <c r="C70">
        <v>1203340563</v>
      </c>
      <c r="D70">
        <v>1203331928</v>
      </c>
      <c r="E70">
        <v>1203332459</v>
      </c>
      <c r="F70">
        <v>1203334622</v>
      </c>
      <c r="G70">
        <v>1221566453</v>
      </c>
      <c r="H70">
        <v>12212353070</v>
      </c>
      <c r="I70">
        <v>12474347611</v>
      </c>
      <c r="J70">
        <v>12477659071</v>
      </c>
      <c r="K70">
        <v>12477659071</v>
      </c>
    </row>
    <row r="71" spans="1:11" x14ac:dyDescent="0.25">
      <c r="A71" s="2" t="s">
        <v>44</v>
      </c>
    </row>
    <row r="72" spans="1:11" x14ac:dyDescent="0.25">
      <c r="A72" s="2" t="s">
        <v>45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46</v>
      </c>
    </row>
    <row r="81" spans="1:11" s="5" customFormat="1" x14ac:dyDescent="0.25">
      <c r="A81" s="3" t="s">
        <v>11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25">
      <c r="A82" s="6" t="s">
        <v>47</v>
      </c>
      <c r="B82">
        <v>10824.36</v>
      </c>
      <c r="C82">
        <v>8023.39</v>
      </c>
      <c r="D82">
        <v>25335.95</v>
      </c>
      <c r="E82">
        <v>20168.72</v>
      </c>
      <c r="F82">
        <v>44326.68</v>
      </c>
      <c r="G82">
        <v>44380.99</v>
      </c>
      <c r="H82">
        <v>21683.08</v>
      </c>
      <c r="I82">
        <v>20300.669999999998</v>
      </c>
      <c r="J82">
        <v>23137.58</v>
      </c>
      <c r="K82">
        <v>35064.46</v>
      </c>
    </row>
    <row r="83" spans="1:11" s="6" customFormat="1" x14ac:dyDescent="0.25">
      <c r="A83" s="6" t="s">
        <v>48</v>
      </c>
      <c r="B83">
        <v>-9489.65</v>
      </c>
      <c r="C83">
        <v>-11730.31</v>
      </c>
      <c r="D83">
        <v>-29176.45</v>
      </c>
      <c r="E83">
        <v>-14012.06</v>
      </c>
      <c r="F83">
        <v>-9437.27</v>
      </c>
      <c r="G83">
        <v>-10905.02</v>
      </c>
      <c r="H83">
        <v>-18179.45</v>
      </c>
      <c r="I83">
        <v>-14252.74</v>
      </c>
      <c r="J83">
        <v>-13611.02</v>
      </c>
      <c r="K83">
        <v>-14397.35</v>
      </c>
    </row>
    <row r="84" spans="1:11" s="6" customFormat="1" x14ac:dyDescent="0.25">
      <c r="A84" s="6" t="s">
        <v>49</v>
      </c>
      <c r="B84">
        <v>-2579.36</v>
      </c>
      <c r="C84">
        <v>6639.94</v>
      </c>
      <c r="D84">
        <v>-672.7</v>
      </c>
      <c r="E84">
        <v>-1694.62</v>
      </c>
      <c r="F84">
        <v>-37089.67</v>
      </c>
      <c r="G84">
        <v>-23401.09</v>
      </c>
      <c r="H84">
        <v>-6980.69</v>
      </c>
      <c r="I84">
        <v>-11096.99</v>
      </c>
      <c r="J84">
        <v>-7002.44</v>
      </c>
      <c r="K84">
        <v>-21387.119999999999</v>
      </c>
    </row>
    <row r="85" spans="1:11" s="1" customFormat="1" x14ac:dyDescent="0.25">
      <c r="A85" s="6" t="s">
        <v>50</v>
      </c>
      <c r="B85">
        <v>-1244.6500000000001</v>
      </c>
      <c r="C85">
        <v>2933.02</v>
      </c>
      <c r="D85">
        <v>-4513.2</v>
      </c>
      <c r="E85">
        <v>4462.04</v>
      </c>
      <c r="F85">
        <v>-2200.2600000000002</v>
      </c>
      <c r="G85">
        <v>10074.879999999999</v>
      </c>
      <c r="H85">
        <v>-3477.06</v>
      </c>
      <c r="I85">
        <v>-5049.0600000000004</v>
      </c>
      <c r="J85">
        <v>2524.12</v>
      </c>
      <c r="K85">
        <v>-720.01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51</v>
      </c>
      <c r="B90">
        <v>45.99</v>
      </c>
      <c r="C90">
        <v>57.11</v>
      </c>
      <c r="D90">
        <v>52.1</v>
      </c>
      <c r="E90">
        <v>26.96</v>
      </c>
      <c r="F90">
        <v>81.19</v>
      </c>
      <c r="G90">
        <v>130.72</v>
      </c>
      <c r="H90">
        <v>104.5</v>
      </c>
      <c r="I90">
        <v>155.85</v>
      </c>
      <c r="J90">
        <v>154.24</v>
      </c>
      <c r="K90">
        <v>191.86</v>
      </c>
    </row>
    <row r="92" spans="1:11" s="1" customFormat="1" x14ac:dyDescent="0.25">
      <c r="A92" s="1" t="s">
        <v>52</v>
      </c>
    </row>
    <row r="93" spans="1:11" x14ac:dyDescent="0.25">
      <c r="A93" s="2" t="s">
        <v>53</v>
      </c>
      <c r="B93" s="7">
        <v>1126.6199999999999</v>
      </c>
      <c r="C93" s="7">
        <v>1126.48</v>
      </c>
      <c r="D93" s="7">
        <v>1126.49</v>
      </c>
      <c r="E93" s="7">
        <v>1126.49</v>
      </c>
      <c r="F93" s="7">
        <v>1196.5899999999999</v>
      </c>
      <c r="G93" s="7">
        <v>1221.3</v>
      </c>
      <c r="H93" s="7">
        <v>1222.1500000000001</v>
      </c>
      <c r="I93" s="7">
        <v>1248.3499999999999</v>
      </c>
      <c r="J93" s="7">
        <v>1248.3499999999999</v>
      </c>
      <c r="K93" s="7">
        <v>1248.3499999999999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32"/>
  <sheetViews>
    <sheetView workbookViewId="0">
      <selection activeCell="P25" sqref="P25"/>
    </sheetView>
  </sheetViews>
  <sheetFormatPr defaultRowHeight="15" x14ac:dyDescent="0.25"/>
  <cols>
    <col min="1" max="1" width="9.140625" style="8"/>
    <col min="2" max="2" width="36.85546875" style="8" bestFit="1" customWidth="1"/>
    <col min="3" max="5" width="9.7109375" style="8" bestFit="1" customWidth="1"/>
    <col min="6" max="14" width="10.5703125" style="8" bestFit="1" customWidth="1"/>
    <col min="15" max="16384" width="9.140625" style="8"/>
  </cols>
  <sheetData>
    <row r="1" spans="2:14" x14ac:dyDescent="0.25">
      <c r="C1" s="41"/>
    </row>
    <row r="2" spans="2:14" ht="15.75" thickBot="1" x14ac:dyDescent="0.3">
      <c r="B2" s="29">
        <v>42064</v>
      </c>
      <c r="C2" s="29">
        <v>42430</v>
      </c>
      <c r="D2" s="29">
        <v>42795</v>
      </c>
      <c r="E2" s="29">
        <v>43160</v>
      </c>
      <c r="F2" s="29">
        <v>43525</v>
      </c>
      <c r="G2" s="29">
        <v>43891</v>
      </c>
      <c r="H2" s="29">
        <v>44256</v>
      </c>
      <c r="I2" s="29">
        <v>44621</v>
      </c>
      <c r="J2" s="29">
        <v>44986</v>
      </c>
      <c r="K2" s="29">
        <v>45352</v>
      </c>
      <c r="L2" s="29">
        <v>45717</v>
      </c>
      <c r="M2" s="29">
        <v>46082</v>
      </c>
    </row>
    <row r="3" spans="2:14" ht="16.5" thickTop="1" thickBot="1" x14ac:dyDescent="0.3">
      <c r="B3" s="30" t="s">
        <v>89</v>
      </c>
      <c r="C3" s="31">
        <v>11880</v>
      </c>
      <c r="D3" s="31">
        <v>11455</v>
      </c>
      <c r="E3" s="31">
        <v>10824</v>
      </c>
      <c r="F3" s="31">
        <v>8023</v>
      </c>
      <c r="G3" s="31">
        <v>25336</v>
      </c>
      <c r="H3" s="31">
        <v>20169</v>
      </c>
      <c r="I3" s="31">
        <v>44327</v>
      </c>
      <c r="J3" s="31">
        <v>44381</v>
      </c>
      <c r="K3" s="31">
        <v>21683</v>
      </c>
      <c r="L3" s="31">
        <v>20301</v>
      </c>
      <c r="M3" s="31">
        <v>23138</v>
      </c>
      <c r="N3" s="31">
        <v>35064</v>
      </c>
    </row>
    <row r="4" spans="2:14" ht="15.75" thickTop="1" x14ac:dyDescent="0.25">
      <c r="B4" s="32" t="s">
        <v>90</v>
      </c>
      <c r="C4" s="31">
        <v>13955</v>
      </c>
      <c r="D4" s="31">
        <v>6824</v>
      </c>
      <c r="E4" s="31">
        <v>17581</v>
      </c>
      <c r="F4" s="31">
        <v>20187</v>
      </c>
      <c r="G4" s="31">
        <v>27840</v>
      </c>
      <c r="H4" s="31">
        <v>18078</v>
      </c>
      <c r="I4" s="31">
        <v>28540</v>
      </c>
      <c r="J4" s="31">
        <v>65900</v>
      </c>
      <c r="K4" s="31">
        <v>30908</v>
      </c>
      <c r="L4" s="31">
        <v>22237</v>
      </c>
      <c r="M4" s="31">
        <v>23929</v>
      </c>
      <c r="N4" s="31">
        <v>34219</v>
      </c>
    </row>
    <row r="5" spans="2:14" x14ac:dyDescent="0.25">
      <c r="B5" s="33" t="s">
        <v>40</v>
      </c>
      <c r="C5" s="34">
        <v>1442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2:14" x14ac:dyDescent="0.25">
      <c r="B6" s="33" t="s">
        <v>41</v>
      </c>
      <c r="C6" s="35">
        <v>-485</v>
      </c>
      <c r="D6" s="34">
        <v>5618</v>
      </c>
      <c r="E6" s="34">
        <v>-8243</v>
      </c>
      <c r="F6" s="34">
        <v>-1595</v>
      </c>
      <c r="G6" s="34">
        <v>-1069</v>
      </c>
      <c r="H6" s="34">
        <v>1562</v>
      </c>
      <c r="I6" s="35">
        <v>46</v>
      </c>
      <c r="J6" s="34">
        <v>-16917</v>
      </c>
      <c r="K6" s="34">
        <v>-4031</v>
      </c>
      <c r="L6" s="34">
        <v>5566</v>
      </c>
      <c r="M6" s="34">
        <v>4776</v>
      </c>
      <c r="N6" s="34">
        <v>1290</v>
      </c>
    </row>
    <row r="7" spans="2:14" x14ac:dyDescent="0.25">
      <c r="B7" s="33" t="s">
        <v>91</v>
      </c>
      <c r="C7" s="35">
        <v>-605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2:14" ht="15.75" thickBot="1" x14ac:dyDescent="0.3">
      <c r="B8" s="33" t="s">
        <v>92</v>
      </c>
      <c r="C8" s="35">
        <v>0</v>
      </c>
      <c r="D8" s="35">
        <v>548</v>
      </c>
      <c r="E8" s="34">
        <v>3329</v>
      </c>
      <c r="F8" s="34">
        <v>-7680</v>
      </c>
      <c r="G8" s="34">
        <v>3659</v>
      </c>
      <c r="H8" s="34">
        <v>2634</v>
      </c>
      <c r="I8" s="34">
        <v>16446</v>
      </c>
      <c r="J8" s="34">
        <v>7299</v>
      </c>
      <c r="K8" s="35">
        <v>325</v>
      </c>
      <c r="L8" s="34">
        <v>-2182</v>
      </c>
      <c r="M8" s="34">
        <v>-2569</v>
      </c>
      <c r="N8" s="34">
        <v>4152</v>
      </c>
    </row>
    <row r="9" spans="2:14" ht="15.75" thickTop="1" x14ac:dyDescent="0.25">
      <c r="B9" s="32" t="s">
        <v>93</v>
      </c>
      <c r="C9" s="36">
        <v>351</v>
      </c>
      <c r="D9" s="31">
        <v>6166</v>
      </c>
      <c r="E9" s="31">
        <v>-4914</v>
      </c>
      <c r="F9" s="31">
        <v>-9276</v>
      </c>
      <c r="G9" s="31">
        <v>2591</v>
      </c>
      <c r="H9" s="31">
        <v>4196</v>
      </c>
      <c r="I9" s="31">
        <v>16491</v>
      </c>
      <c r="J9" s="31">
        <v>-9618</v>
      </c>
      <c r="K9" s="31">
        <v>-3706</v>
      </c>
      <c r="L9" s="31">
        <v>3384</v>
      </c>
      <c r="M9" s="31">
        <v>2207</v>
      </c>
      <c r="N9" s="31">
        <v>5442</v>
      </c>
    </row>
    <row r="10" spans="2:14" ht="15.75" thickBot="1" x14ac:dyDescent="0.3">
      <c r="B10" s="33" t="s">
        <v>94</v>
      </c>
      <c r="C10" s="34">
        <v>-2427</v>
      </c>
      <c r="D10" s="34">
        <v>-1534</v>
      </c>
      <c r="E10" s="34">
        <v>-1843</v>
      </c>
      <c r="F10" s="34">
        <v>-2888</v>
      </c>
      <c r="G10" s="34">
        <v>-5094</v>
      </c>
      <c r="H10" s="34">
        <v>-2106</v>
      </c>
      <c r="I10" s="35">
        <v>-704</v>
      </c>
      <c r="J10" s="34">
        <v>-11902</v>
      </c>
      <c r="K10" s="34">
        <v>-5519</v>
      </c>
      <c r="L10" s="34">
        <v>-5320</v>
      </c>
      <c r="M10" s="34">
        <v>-2998</v>
      </c>
      <c r="N10" s="34">
        <v>-4597</v>
      </c>
    </row>
    <row r="11" spans="2:14" ht="15.75" thickTop="1" x14ac:dyDescent="0.25">
      <c r="B11" s="30" t="s">
        <v>95</v>
      </c>
      <c r="C11" s="31">
        <v>-9021</v>
      </c>
      <c r="D11" s="31">
        <v>-8794</v>
      </c>
      <c r="E11" s="31">
        <v>-9490</v>
      </c>
      <c r="F11" s="31">
        <v>-11730</v>
      </c>
      <c r="G11" s="31">
        <v>-29176</v>
      </c>
      <c r="H11" s="31">
        <v>-14012</v>
      </c>
      <c r="I11" s="31">
        <v>-9437</v>
      </c>
      <c r="J11" s="31">
        <v>-10905</v>
      </c>
      <c r="K11" s="31">
        <v>-18179</v>
      </c>
      <c r="L11" s="31">
        <v>-14253</v>
      </c>
      <c r="M11" s="31">
        <v>-13611</v>
      </c>
      <c r="N11" s="31">
        <v>-14397</v>
      </c>
    </row>
    <row r="12" spans="2:14" x14ac:dyDescent="0.25">
      <c r="B12" s="33" t="s">
        <v>96</v>
      </c>
      <c r="C12" s="34">
        <v>-13492</v>
      </c>
      <c r="D12" s="34">
        <v>-10163</v>
      </c>
      <c r="E12" s="34">
        <v>-7716</v>
      </c>
      <c r="F12" s="34">
        <v>-7478</v>
      </c>
      <c r="G12" s="34">
        <v>-9091</v>
      </c>
      <c r="H12" s="34">
        <v>-10398</v>
      </c>
      <c r="I12" s="34">
        <v>-6979</v>
      </c>
      <c r="J12" s="34">
        <v>-10522</v>
      </c>
      <c r="K12" s="34">
        <v>-14142</v>
      </c>
      <c r="L12" s="34">
        <v>-18207</v>
      </c>
      <c r="M12" s="34">
        <v>-15671</v>
      </c>
      <c r="N12" s="34">
        <v>-14559</v>
      </c>
    </row>
    <row r="13" spans="2:14" x14ac:dyDescent="0.25">
      <c r="B13" s="33" t="s">
        <v>97</v>
      </c>
      <c r="C13" s="34">
        <v>1444</v>
      </c>
      <c r="D13" s="35">
        <v>231</v>
      </c>
      <c r="E13" s="35">
        <v>289</v>
      </c>
      <c r="F13" s="35">
        <v>179</v>
      </c>
      <c r="G13" s="35">
        <v>467</v>
      </c>
      <c r="H13" s="35">
        <v>386</v>
      </c>
      <c r="I13" s="35">
        <v>445</v>
      </c>
      <c r="J13" s="35">
        <v>569</v>
      </c>
      <c r="K13" s="35">
        <v>328</v>
      </c>
      <c r="L13" s="35">
        <v>475</v>
      </c>
      <c r="M13" s="34">
        <v>1264</v>
      </c>
      <c r="N13" s="34">
        <v>1401</v>
      </c>
    </row>
    <row r="14" spans="2:14" x14ac:dyDescent="0.25">
      <c r="B14" s="33" t="s">
        <v>98</v>
      </c>
      <c r="C14" s="34">
        <v>1531</v>
      </c>
      <c r="D14" s="34">
        <v>-3796</v>
      </c>
      <c r="E14" s="35">
        <v>-861</v>
      </c>
      <c r="F14" s="34">
        <v>-8641</v>
      </c>
      <c r="G14" s="35">
        <v>-490</v>
      </c>
      <c r="H14" s="35">
        <v>-828</v>
      </c>
      <c r="I14" s="34">
        <v>-3631</v>
      </c>
      <c r="J14" s="34">
        <v>-1153</v>
      </c>
      <c r="K14" s="35">
        <v>-326</v>
      </c>
      <c r="L14" s="35">
        <v>-4</v>
      </c>
      <c r="M14" s="35">
        <v>-393</v>
      </c>
      <c r="N14" s="35">
        <v>-553</v>
      </c>
    </row>
    <row r="15" spans="2:14" x14ac:dyDescent="0.25">
      <c r="B15" s="33" t="s">
        <v>99</v>
      </c>
      <c r="C15" s="35">
        <v>262</v>
      </c>
      <c r="D15" s="34">
        <v>4275</v>
      </c>
      <c r="E15" s="35">
        <v>91</v>
      </c>
      <c r="F15" s="34">
        <v>3899</v>
      </c>
      <c r="G15" s="34">
        <v>13556</v>
      </c>
      <c r="H15" s="35">
        <v>121</v>
      </c>
      <c r="I15" s="35">
        <v>0</v>
      </c>
      <c r="J15" s="35">
        <v>63</v>
      </c>
      <c r="K15" s="34">
        <v>5191</v>
      </c>
      <c r="L15" s="34">
        <v>3171</v>
      </c>
      <c r="M15" s="35">
        <v>554</v>
      </c>
      <c r="N15" s="35">
        <v>20</v>
      </c>
    </row>
    <row r="16" spans="2:14" x14ac:dyDescent="0.25">
      <c r="B16" s="33" t="s">
        <v>100</v>
      </c>
      <c r="C16" s="35">
        <v>211</v>
      </c>
      <c r="D16" s="35">
        <v>133</v>
      </c>
      <c r="E16" s="35">
        <v>140</v>
      </c>
      <c r="F16" s="35">
        <v>254</v>
      </c>
      <c r="G16" s="35">
        <v>175</v>
      </c>
      <c r="H16" s="35">
        <v>203</v>
      </c>
      <c r="I16" s="35">
        <v>266</v>
      </c>
      <c r="J16" s="35">
        <v>137</v>
      </c>
      <c r="K16" s="35">
        <v>248</v>
      </c>
      <c r="L16" s="35">
        <v>333</v>
      </c>
      <c r="M16" s="35">
        <v>616</v>
      </c>
      <c r="N16" s="35">
        <v>650</v>
      </c>
    </row>
    <row r="17" spans="2:14" x14ac:dyDescent="0.25">
      <c r="B17" s="33" t="s">
        <v>101</v>
      </c>
      <c r="C17" s="35">
        <v>127</v>
      </c>
      <c r="D17" s="35">
        <v>108</v>
      </c>
      <c r="E17" s="35">
        <v>85</v>
      </c>
      <c r="F17" s="35">
        <v>111</v>
      </c>
      <c r="G17" s="35">
        <v>148</v>
      </c>
      <c r="H17" s="35">
        <v>103</v>
      </c>
      <c r="I17" s="35">
        <v>135</v>
      </c>
      <c r="J17" s="35">
        <v>162</v>
      </c>
      <c r="K17" s="35">
        <v>317</v>
      </c>
      <c r="L17" s="35">
        <v>336</v>
      </c>
      <c r="M17" s="35">
        <v>294</v>
      </c>
      <c r="N17" s="35">
        <v>408</v>
      </c>
    </row>
    <row r="18" spans="2:14" x14ac:dyDescent="0.25">
      <c r="B18" s="33" t="s">
        <v>102</v>
      </c>
      <c r="C18" s="34">
        <v>1301</v>
      </c>
      <c r="D18" s="35">
        <v>0</v>
      </c>
      <c r="E18" s="35">
        <v>0</v>
      </c>
      <c r="F18" s="35">
        <v>34</v>
      </c>
      <c r="G18" s="35">
        <v>156</v>
      </c>
      <c r="H18" s="35">
        <v>378</v>
      </c>
      <c r="I18" s="35">
        <v>90</v>
      </c>
      <c r="J18" s="34">
        <v>1208</v>
      </c>
      <c r="K18" s="35">
        <v>166</v>
      </c>
      <c r="L18" s="35">
        <v>123</v>
      </c>
      <c r="M18" s="35">
        <v>28</v>
      </c>
      <c r="N18" s="35">
        <v>611</v>
      </c>
    </row>
    <row r="19" spans="2:14" x14ac:dyDescent="0.25">
      <c r="B19" s="33" t="s">
        <v>103</v>
      </c>
      <c r="C19" s="35">
        <v>-108</v>
      </c>
      <c r="D19" s="35">
        <v>-78</v>
      </c>
      <c r="E19" s="34">
        <v>-1081</v>
      </c>
      <c r="F19" s="35">
        <v>-255</v>
      </c>
      <c r="G19" s="34">
        <v>-34569</v>
      </c>
      <c r="H19" s="34">
        <v>-4433</v>
      </c>
      <c r="I19" s="35">
        <v>0</v>
      </c>
      <c r="J19" s="35">
        <v>-53</v>
      </c>
      <c r="K19" s="34">
        <v>-10569</v>
      </c>
      <c r="L19" s="35">
        <v>0</v>
      </c>
      <c r="M19" s="35">
        <v>-6</v>
      </c>
      <c r="N19" s="34">
        <v>-2846</v>
      </c>
    </row>
    <row r="20" spans="2:14" x14ac:dyDescent="0.25">
      <c r="B20" s="33" t="s">
        <v>104</v>
      </c>
      <c r="C20" s="35">
        <v>277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2:14" ht="15.75" thickBot="1" x14ac:dyDescent="0.3">
      <c r="B21" s="33" t="s">
        <v>105</v>
      </c>
      <c r="C21" s="35">
        <v>-573</v>
      </c>
      <c r="D21" s="35">
        <v>496</v>
      </c>
      <c r="E21" s="35">
        <v>-437</v>
      </c>
      <c r="F21" s="35">
        <v>166</v>
      </c>
      <c r="G21" s="35">
        <v>471</v>
      </c>
      <c r="H21" s="35">
        <v>456</v>
      </c>
      <c r="I21" s="35">
        <v>236</v>
      </c>
      <c r="J21" s="34">
        <v>-1315</v>
      </c>
      <c r="K21" s="35">
        <v>609</v>
      </c>
      <c r="L21" s="35">
        <v>-481</v>
      </c>
      <c r="M21" s="35">
        <v>-298</v>
      </c>
      <c r="N21" s="35">
        <v>472</v>
      </c>
    </row>
    <row r="22" spans="2:14" ht="15.75" thickTop="1" x14ac:dyDescent="0.25">
      <c r="B22" s="30" t="s">
        <v>106</v>
      </c>
      <c r="C22" s="31">
        <v>-2617</v>
      </c>
      <c r="D22" s="31">
        <v>-4729</v>
      </c>
      <c r="E22" s="31">
        <v>-2579</v>
      </c>
      <c r="F22" s="31">
        <v>6640</v>
      </c>
      <c r="G22" s="36">
        <v>-673</v>
      </c>
      <c r="H22" s="31">
        <v>-1695</v>
      </c>
      <c r="I22" s="31">
        <v>-37090</v>
      </c>
      <c r="J22" s="31">
        <v>-23401</v>
      </c>
      <c r="K22" s="31">
        <v>-6981</v>
      </c>
      <c r="L22" s="31">
        <v>-11097</v>
      </c>
      <c r="M22" s="31">
        <v>-7002</v>
      </c>
      <c r="N22" s="31">
        <v>-21387</v>
      </c>
    </row>
    <row r="23" spans="2:14" x14ac:dyDescent="0.25">
      <c r="B23" s="33" t="s">
        <v>107</v>
      </c>
      <c r="C23" s="35">
        <v>13</v>
      </c>
      <c r="D23" s="35">
        <v>0</v>
      </c>
      <c r="E23" s="35">
        <v>652</v>
      </c>
      <c r="F23" s="34">
        <v>9087</v>
      </c>
      <c r="G23" s="35">
        <v>0</v>
      </c>
      <c r="H23" s="35">
        <v>188</v>
      </c>
      <c r="I23" s="34">
        <v>3239</v>
      </c>
      <c r="J23" s="35">
        <v>326</v>
      </c>
      <c r="K23" s="35">
        <v>1</v>
      </c>
      <c r="L23" s="35">
        <v>0</v>
      </c>
      <c r="M23" s="35">
        <v>0</v>
      </c>
      <c r="N23" s="35">
        <v>0</v>
      </c>
    </row>
    <row r="24" spans="2:14" x14ac:dyDescent="0.25">
      <c r="B24" s="33" t="s">
        <v>108</v>
      </c>
      <c r="C24" s="35">
        <v>0</v>
      </c>
      <c r="D24" s="35">
        <v>0</v>
      </c>
      <c r="E24" s="35">
        <v>0</v>
      </c>
      <c r="F24" s="35">
        <v>0</v>
      </c>
      <c r="G24" s="34">
        <v>33344</v>
      </c>
      <c r="H24" s="34">
        <v>16574</v>
      </c>
      <c r="I24" s="34">
        <v>9801</v>
      </c>
      <c r="J24" s="34">
        <v>12439</v>
      </c>
      <c r="K24" s="34">
        <v>16769</v>
      </c>
      <c r="L24" s="34">
        <v>14120</v>
      </c>
      <c r="M24" s="34">
        <v>23893</v>
      </c>
      <c r="N24" s="34">
        <v>15954</v>
      </c>
    </row>
    <row r="25" spans="2:14" x14ac:dyDescent="0.25">
      <c r="B25" s="33" t="s">
        <v>109</v>
      </c>
      <c r="C25" s="35">
        <v>0</v>
      </c>
      <c r="D25" s="35">
        <v>0</v>
      </c>
      <c r="E25" s="35">
        <v>0</v>
      </c>
      <c r="F25" s="35">
        <v>0</v>
      </c>
      <c r="G25" s="34">
        <v>-25077</v>
      </c>
      <c r="H25" s="34">
        <v>-7937</v>
      </c>
      <c r="I25" s="34">
        <v>-39177</v>
      </c>
      <c r="J25" s="34">
        <v>-26360</v>
      </c>
      <c r="K25" s="34">
        <v>-10226</v>
      </c>
      <c r="L25" s="34">
        <v>-11908</v>
      </c>
      <c r="M25" s="34">
        <v>-17627</v>
      </c>
      <c r="N25" s="34">
        <v>-23916</v>
      </c>
    </row>
    <row r="26" spans="2:14" x14ac:dyDescent="0.25">
      <c r="B26" s="33" t="s">
        <v>110</v>
      </c>
      <c r="C26" s="34">
        <v>-5428</v>
      </c>
      <c r="D26" s="34">
        <v>-5483</v>
      </c>
      <c r="E26" s="34">
        <v>-4733</v>
      </c>
      <c r="F26" s="34">
        <v>-5146</v>
      </c>
      <c r="G26" s="34">
        <v>-6901</v>
      </c>
      <c r="H26" s="34">
        <v>-7419</v>
      </c>
      <c r="I26" s="34">
        <v>-6804</v>
      </c>
      <c r="J26" s="34">
        <v>-4687</v>
      </c>
      <c r="K26" s="34">
        <v>-6120</v>
      </c>
      <c r="L26" s="34">
        <v>-8145</v>
      </c>
      <c r="M26" s="34">
        <v>-8119</v>
      </c>
      <c r="N26" s="34">
        <v>-8066</v>
      </c>
    </row>
    <row r="27" spans="2:14" x14ac:dyDescent="0.25">
      <c r="B27" s="33" t="s">
        <v>111</v>
      </c>
      <c r="C27" s="35">
        <v>-983</v>
      </c>
      <c r="D27" s="35">
        <v>-788</v>
      </c>
      <c r="E27" s="35">
        <v>-791</v>
      </c>
      <c r="F27" s="35">
        <v>-982</v>
      </c>
      <c r="G27" s="34">
        <v>-1186</v>
      </c>
      <c r="H27" s="34">
        <v>-1507</v>
      </c>
      <c r="I27" s="34">
        <v>-1151</v>
      </c>
      <c r="J27" s="34">
        <v>-3020</v>
      </c>
      <c r="K27" s="34">
        <v>-6293</v>
      </c>
      <c r="L27" s="34">
        <v>-4429</v>
      </c>
      <c r="M27" s="34">
        <v>-4490</v>
      </c>
      <c r="N27" s="34">
        <v>-4490</v>
      </c>
    </row>
    <row r="28" spans="2:14" x14ac:dyDescent="0.25">
      <c r="B28" s="33" t="s">
        <v>112</v>
      </c>
      <c r="C28" s="35">
        <v>0</v>
      </c>
      <c r="D28" s="35">
        <v>-200</v>
      </c>
      <c r="E28" s="35">
        <v>-208</v>
      </c>
      <c r="F28" s="35">
        <v>-211</v>
      </c>
      <c r="G28" s="35">
        <v>-276</v>
      </c>
      <c r="H28" s="34">
        <v>-1029</v>
      </c>
      <c r="I28" s="34">
        <v>-1284</v>
      </c>
      <c r="J28" s="34">
        <v>-1310</v>
      </c>
      <c r="K28" s="34">
        <v>-1114</v>
      </c>
      <c r="L28" s="34">
        <v>-1140</v>
      </c>
      <c r="M28" s="35">
        <v>-971</v>
      </c>
      <c r="N28" s="34">
        <v>-1162</v>
      </c>
    </row>
    <row r="29" spans="2:14" ht="15.75" thickBot="1" x14ac:dyDescent="0.3">
      <c r="B29" s="33" t="s">
        <v>113</v>
      </c>
      <c r="C29" s="34">
        <v>3781</v>
      </c>
      <c r="D29" s="34">
        <v>1743</v>
      </c>
      <c r="E29" s="34">
        <v>2501</v>
      </c>
      <c r="F29" s="34">
        <v>3892</v>
      </c>
      <c r="G29" s="35">
        <v>-576</v>
      </c>
      <c r="H29" s="35">
        <v>-564</v>
      </c>
      <c r="I29" s="34">
        <v>-1714</v>
      </c>
      <c r="J29" s="35">
        <v>-789</v>
      </c>
      <c r="K29" s="35">
        <v>2</v>
      </c>
      <c r="L29" s="35">
        <v>404</v>
      </c>
      <c r="M29" s="35">
        <v>312</v>
      </c>
      <c r="N29" s="35">
        <v>293</v>
      </c>
    </row>
    <row r="30" spans="2:14" ht="15.75" thickTop="1" x14ac:dyDescent="0.25">
      <c r="B30" s="30" t="s">
        <v>50</v>
      </c>
      <c r="C30" s="36">
        <v>241</v>
      </c>
      <c r="D30" s="31">
        <v>-2068</v>
      </c>
      <c r="E30" s="31">
        <v>-1245</v>
      </c>
      <c r="F30" s="31">
        <v>2933</v>
      </c>
      <c r="G30" s="31">
        <v>-4513</v>
      </c>
      <c r="H30" s="31">
        <v>4462</v>
      </c>
      <c r="I30" s="31">
        <v>-2200</v>
      </c>
      <c r="J30" s="31">
        <v>10075</v>
      </c>
      <c r="K30" s="31">
        <v>-3477</v>
      </c>
      <c r="L30" s="31">
        <v>-5049</v>
      </c>
      <c r="M30" s="31">
        <v>2524</v>
      </c>
      <c r="N30" s="36">
        <v>-720</v>
      </c>
    </row>
    <row r="31" spans="2:14" x14ac:dyDescent="0.25">
      <c r="B31" s="37" t="s">
        <v>114</v>
      </c>
      <c r="C31" s="38">
        <v>-169</v>
      </c>
      <c r="D31" s="39">
        <v>1523</v>
      </c>
      <c r="E31" s="39">
        <v>3397</v>
      </c>
      <c r="F31" s="38">
        <v>724</v>
      </c>
      <c r="G31" s="39">
        <v>16712</v>
      </c>
      <c r="H31" s="39">
        <v>10156</v>
      </c>
      <c r="I31" s="39">
        <v>37793</v>
      </c>
      <c r="J31" s="39">
        <v>34428</v>
      </c>
      <c r="K31" s="39">
        <v>7868</v>
      </c>
      <c r="L31" s="39">
        <v>2569</v>
      </c>
      <c r="M31" s="39">
        <v>8731</v>
      </c>
      <c r="N31" s="39">
        <v>21906</v>
      </c>
    </row>
    <row r="32" spans="2:14" x14ac:dyDescent="0.25">
      <c r="B32" s="37" t="s">
        <v>115</v>
      </c>
      <c r="C32" s="40">
        <v>4.2</v>
      </c>
      <c r="D32" s="40">
        <v>-20.78</v>
      </c>
      <c r="E32" s="40">
        <v>0.96</v>
      </c>
      <c r="F32" s="40">
        <v>0.51</v>
      </c>
      <c r="G32" s="40">
        <v>1.04</v>
      </c>
      <c r="H32" s="40">
        <v>1.28</v>
      </c>
      <c r="I32" s="40">
        <v>1.48</v>
      </c>
      <c r="J32" s="40">
        <v>0.89</v>
      </c>
      <c r="K32" s="40">
        <v>0.84</v>
      </c>
      <c r="L32" s="40">
        <v>1.1499999999999999</v>
      </c>
      <c r="M32" s="40">
        <v>1.03</v>
      </c>
      <c r="N32" s="40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HistoricalFS</vt:lpstr>
      <vt:lpstr>Ratio Analysis</vt:lpstr>
      <vt:lpstr>Forecasting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c2c</dc:creator>
  <cp:lastModifiedBy>Aagam Jain</cp:lastModifiedBy>
  <cp:lastPrinted>2026-09-11T19:04:55Z</cp:lastPrinted>
  <dcterms:created xsi:type="dcterms:W3CDTF">2015-06-05T18:17:20Z</dcterms:created>
  <dcterms:modified xsi:type="dcterms:W3CDTF">2026-09-23T08:18:20Z</dcterms:modified>
</cp:coreProperties>
</file>