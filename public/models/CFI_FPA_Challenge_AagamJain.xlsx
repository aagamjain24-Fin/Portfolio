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2c\Documents\"/>
    </mc:Choice>
  </mc:AlternateContent>
  <xr:revisionPtr revIDLastSave="0" documentId="8_{48B38263-D39E-46E9-A2EC-12236B5F290D}" xr6:coauthVersionLast="47" xr6:coauthVersionMax="47" xr10:uidLastSave="{00000000-0000-0000-0000-000000000000}"/>
  <bookViews>
    <workbookView xWindow="-120" yWindow="-120" windowWidth="20730" windowHeight="11160" tabRatio="824" activeTab="3" xr2:uid="{00000000-000D-0000-FFFF-FFFF00000000}"/>
  </bookViews>
  <sheets>
    <sheet name="Business A" sheetId="3" r:id="rId1"/>
    <sheet name="Business B" sheetId="4" r:id="rId2"/>
    <sheet name="Business C" sheetId="5" r:id="rId3"/>
    <sheet name="Group Consolidation" sheetId="6" r:id="rId4"/>
    <sheet name="Week 2 Forecast" sheetId="7" r:id="rId5"/>
    <sheet name="Week 3 Dashboard" sheetId="8" r:id="rId6"/>
  </sheets>
  <definedNames>
    <definedName name="_xlnm.Print_Area" localSheetId="0">'Business A'!$B$2:$K$20</definedName>
    <definedName name="_xlnm.Print_Area" localSheetId="1">'Business B'!$B$2:$K$19</definedName>
    <definedName name="_xlnm.Print_Area" localSheetId="2">'Business C'!$B$2:$K$19</definedName>
    <definedName name="_xlnm.Print_Area" localSheetId="3">'Group Consolidation'!$A$2:$P$27</definedName>
    <definedName name="_xlnm.Print_Area" localSheetId="5">'Week 3 Dashboard'!$A$1:$N$40</definedName>
    <definedName name="_xlnm.Print_Titles" localSheetId="0">'Business A'!$1:$1</definedName>
    <definedName name="_xlnm.Print_Titles" localSheetId="1">'Business B'!$1:$1</definedName>
    <definedName name="_xlnm.Print_Titles" localSheetId="2">'Business C'!$1:$1</definedName>
    <definedName name="_xlnm.Print_Titles" localSheetId="3">'Group Consolidation'!$1:$1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7" l="1"/>
  <c r="D59" i="7"/>
  <c r="F57" i="7"/>
  <c r="C56" i="7"/>
  <c r="D55" i="7"/>
  <c r="F53" i="7"/>
  <c r="F59" i="7"/>
  <c r="C58" i="7"/>
  <c r="D57" i="7"/>
  <c r="F55" i="7"/>
  <c r="C54" i="7"/>
  <c r="D53" i="7"/>
  <c r="D60" i="7"/>
  <c r="F58" i="7"/>
  <c r="C57" i="7"/>
  <c r="D56" i="7"/>
  <c r="F54" i="7"/>
  <c r="C53" i="7"/>
  <c r="F60" i="7"/>
  <c r="C59" i="7"/>
  <c r="D58" i="7"/>
  <c r="F56" i="7"/>
  <c r="C55" i="7"/>
  <c r="D54" i="7"/>
  <c r="C40" i="7"/>
  <c r="D39" i="7"/>
  <c r="F37" i="7"/>
  <c r="C36" i="7"/>
  <c r="D35" i="7"/>
  <c r="F33" i="7"/>
  <c r="F38" i="7"/>
  <c r="C37" i="7"/>
  <c r="F40" i="7"/>
  <c r="C39" i="7"/>
  <c r="D38" i="7"/>
  <c r="F36" i="7"/>
  <c r="C35" i="7"/>
  <c r="D34" i="7"/>
  <c r="F39" i="7"/>
  <c r="C38" i="7"/>
  <c r="D37" i="7"/>
  <c r="F35" i="7"/>
  <c r="C34" i="7"/>
  <c r="D33" i="7"/>
  <c r="D40" i="7"/>
  <c r="D36" i="7"/>
  <c r="F34" i="7"/>
  <c r="C33" i="7"/>
  <c r="C20" i="7"/>
  <c r="D19" i="7"/>
  <c r="F17" i="7"/>
  <c r="C16" i="7"/>
  <c r="D15" i="7"/>
  <c r="F13" i="7"/>
  <c r="F20" i="7"/>
  <c r="C19" i="7"/>
  <c r="D18" i="7"/>
  <c r="F16" i="7"/>
  <c r="C15" i="7"/>
  <c r="D14" i="7"/>
  <c r="F19" i="7"/>
  <c r="C18" i="7"/>
  <c r="D17" i="7"/>
  <c r="F15" i="7"/>
  <c r="C14" i="7"/>
  <c r="D13" i="7"/>
  <c r="D20" i="7"/>
  <c r="F18" i="7"/>
  <c r="C17" i="7"/>
  <c r="D16" i="7"/>
  <c r="F14" i="7"/>
  <c r="C13" i="7"/>
  <c r="E55" i="7" l="1"/>
  <c r="G55" i="7" s="1"/>
  <c r="E59" i="7"/>
  <c r="G59" i="7" s="1"/>
  <c r="E53" i="7"/>
  <c r="G53" i="7" s="1"/>
  <c r="E57" i="7"/>
  <c r="G57" i="7" s="1"/>
  <c r="E54" i="7"/>
  <c r="G54" i="7" s="1"/>
  <c r="E58" i="7"/>
  <c r="G58" i="7" s="1"/>
  <c r="E56" i="7"/>
  <c r="G56" i="7" s="1"/>
  <c r="E60" i="7"/>
  <c r="G60" i="7" s="1"/>
  <c r="E33" i="7"/>
  <c r="G33" i="7" s="1"/>
  <c r="E34" i="7"/>
  <c r="G34" i="7" s="1"/>
  <c r="E38" i="7"/>
  <c r="G38" i="7" s="1"/>
  <c r="E35" i="7"/>
  <c r="G35" i="7" s="1"/>
  <c r="E39" i="7"/>
  <c r="G39" i="7" s="1"/>
  <c r="E37" i="7"/>
  <c r="G37" i="7" s="1"/>
  <c r="E36" i="7"/>
  <c r="G36" i="7" s="1"/>
  <c r="E40" i="7"/>
  <c r="G40" i="7" s="1"/>
  <c r="E13" i="7"/>
  <c r="G13" i="7" s="1"/>
  <c r="E17" i="7"/>
  <c r="G17" i="7" s="1"/>
  <c r="E14" i="7"/>
  <c r="G14" i="7" s="1"/>
  <c r="E18" i="7"/>
  <c r="G18" i="7" s="1"/>
  <c r="E15" i="7"/>
  <c r="G15" i="7" s="1"/>
  <c r="E19" i="7"/>
  <c r="G19" i="7" s="1"/>
  <c r="E16" i="7"/>
  <c r="G16" i="7" s="1"/>
  <c r="E20" i="7"/>
  <c r="G20" i="7" s="1"/>
  <c r="K16" i="6" l="1"/>
  <c r="K17" i="6"/>
  <c r="K15" i="6"/>
  <c r="J16" i="6"/>
  <c r="E16" i="6"/>
  <c r="F16" i="6"/>
  <c r="G16" i="6"/>
  <c r="H16" i="6"/>
  <c r="E17" i="6"/>
  <c r="F17" i="6"/>
  <c r="G17" i="6"/>
  <c r="H17" i="6"/>
  <c r="J17" i="6" s="1"/>
  <c r="M17" i="6" s="1"/>
  <c r="N17" i="6" s="1"/>
  <c r="F15" i="6"/>
  <c r="G15" i="6"/>
  <c r="H15" i="6"/>
  <c r="J15" i="6" s="1"/>
  <c r="E15" i="6"/>
  <c r="K12" i="6"/>
  <c r="K10" i="6"/>
  <c r="K9" i="6"/>
  <c r="K11" i="6" s="1"/>
  <c r="K13" i="6" s="1"/>
  <c r="F12" i="6"/>
  <c r="G12" i="6"/>
  <c r="H12" i="6"/>
  <c r="E12" i="6"/>
  <c r="H11" i="6"/>
  <c r="H13" i="6" s="1"/>
  <c r="H10" i="6"/>
  <c r="G10" i="6"/>
  <c r="F10" i="6"/>
  <c r="E10" i="6"/>
  <c r="H9" i="6"/>
  <c r="G9" i="6"/>
  <c r="G11" i="6" s="1"/>
  <c r="G13" i="6" s="1"/>
  <c r="F9" i="6"/>
  <c r="F11" i="6" s="1"/>
  <c r="F13" i="6" s="1"/>
  <c r="E9" i="6"/>
  <c r="E11" i="6" s="1"/>
  <c r="E13" i="6" s="1"/>
  <c r="F63" i="7"/>
  <c r="D63" i="7"/>
  <c r="C63" i="7"/>
  <c r="E63" i="7" s="1"/>
  <c r="F49" i="7" a="1"/>
  <c r="F52" i="7" s="1"/>
  <c r="D49" i="7" a="1"/>
  <c r="D50" i="7" s="1"/>
  <c r="C49" i="7" a="1"/>
  <c r="C51" i="7" s="1"/>
  <c r="F43" i="7"/>
  <c r="D43" i="7"/>
  <c r="C43" i="7"/>
  <c r="E43" i="7" s="1"/>
  <c r="F29" i="7" a="1"/>
  <c r="F30" i="7" s="1"/>
  <c r="D29" i="7" a="1"/>
  <c r="D30" i="7" s="1"/>
  <c r="C29" i="7" a="1"/>
  <c r="C30" i="7" s="1"/>
  <c r="B29" i="7"/>
  <c r="B49" i="7" s="1"/>
  <c r="B69" i="7" s="1"/>
  <c r="P2" i="8" s="1"/>
  <c r="F23" i="7"/>
  <c r="D23" i="7"/>
  <c r="D83" i="7" s="1"/>
  <c r="C23" i="7"/>
  <c r="B10" i="7"/>
  <c r="B30" i="7" s="1"/>
  <c r="B50" i="7" s="1"/>
  <c r="B70" i="7" s="1"/>
  <c r="P3" i="8" s="1"/>
  <c r="F9" i="7" a="1"/>
  <c r="F10" i="7" s="1"/>
  <c r="D9" i="7" a="1"/>
  <c r="C9" i="7" a="1"/>
  <c r="C10" i="7" s="1"/>
  <c r="M16" i="6"/>
  <c r="F7" i="6"/>
  <c r="G7" i="6" s="1"/>
  <c r="H7" i="6" s="1"/>
  <c r="J18" i="5"/>
  <c r="J17" i="5"/>
  <c r="J16" i="5"/>
  <c r="H13" i="5"/>
  <c r="J12" i="5"/>
  <c r="K11" i="5"/>
  <c r="K13" i="5" s="1"/>
  <c r="H11" i="5"/>
  <c r="G11" i="5"/>
  <c r="G13" i="5" s="1"/>
  <c r="F11" i="5"/>
  <c r="F13" i="5" s="1"/>
  <c r="E11" i="5"/>
  <c r="E13" i="5" s="1"/>
  <c r="J10" i="5"/>
  <c r="J9" i="5"/>
  <c r="J11" i="5" s="1"/>
  <c r="F7" i="5"/>
  <c r="G7" i="5" s="1"/>
  <c r="H7" i="5" s="1"/>
  <c r="J18" i="4"/>
  <c r="J17" i="4"/>
  <c r="J16" i="4"/>
  <c r="H13" i="4"/>
  <c r="J12" i="4"/>
  <c r="K11" i="4"/>
  <c r="K13" i="4" s="1"/>
  <c r="H11" i="4"/>
  <c r="G11" i="4"/>
  <c r="G13" i="4" s="1"/>
  <c r="F11" i="4"/>
  <c r="F13" i="4" s="1"/>
  <c r="E11" i="4"/>
  <c r="E13" i="4" s="1"/>
  <c r="J10" i="4"/>
  <c r="J9" i="4"/>
  <c r="J11" i="4" s="1"/>
  <c r="F7" i="4"/>
  <c r="G7" i="4" s="1"/>
  <c r="H7" i="4" s="1"/>
  <c r="J18" i="3"/>
  <c r="J17" i="3"/>
  <c r="J16" i="3"/>
  <c r="K13" i="3"/>
  <c r="E13" i="3"/>
  <c r="J12" i="3"/>
  <c r="J12" i="6" s="1"/>
  <c r="M12" i="6" s="1"/>
  <c r="O12" i="6" s="1"/>
  <c r="K11" i="3"/>
  <c r="H11" i="3"/>
  <c r="H13" i="3" s="1"/>
  <c r="G11" i="3"/>
  <c r="G13" i="3" s="1"/>
  <c r="F11" i="3"/>
  <c r="F13" i="3" s="1"/>
  <c r="E11" i="3"/>
  <c r="J10" i="3"/>
  <c r="J9" i="3"/>
  <c r="J9" i="6" s="1"/>
  <c r="F7" i="3"/>
  <c r="G7" i="3" s="1"/>
  <c r="H7" i="3" s="1"/>
  <c r="M9" i="6" l="1"/>
  <c r="J11" i="3"/>
  <c r="J13" i="3" s="1"/>
  <c r="J13" i="5"/>
  <c r="C11" i="7"/>
  <c r="E30" i="7"/>
  <c r="G30" i="7" s="1"/>
  <c r="D51" i="7"/>
  <c r="E51" i="7" s="1"/>
  <c r="M15" i="6"/>
  <c r="O15" i="6" s="1"/>
  <c r="G63" i="7"/>
  <c r="J10" i="6"/>
  <c r="J11" i="6" s="1"/>
  <c r="J13" i="6" s="1"/>
  <c r="B11" i="7"/>
  <c r="B31" i="7" s="1"/>
  <c r="B51" i="7" s="1"/>
  <c r="B71" i="7" s="1"/>
  <c r="P4" i="8" s="1"/>
  <c r="O17" i="6"/>
  <c r="N12" i="6"/>
  <c r="M10" i="6"/>
  <c r="O10" i="6" s="1"/>
  <c r="N9" i="6"/>
  <c r="O9" i="6"/>
  <c r="C31" i="7"/>
  <c r="D31" i="7"/>
  <c r="C52" i="7"/>
  <c r="C9" i="7"/>
  <c r="C12" i="7"/>
  <c r="F11" i="7"/>
  <c r="F21" i="7" s="1"/>
  <c r="F25" i="7" s="1"/>
  <c r="C83" i="7"/>
  <c r="E83" i="7" s="1"/>
  <c r="C29" i="7"/>
  <c r="C32" i="7"/>
  <c r="C49" i="7"/>
  <c r="C61" i="7" s="1"/>
  <c r="F12" i="7"/>
  <c r="F9" i="7"/>
  <c r="F83" i="7"/>
  <c r="C50" i="7"/>
  <c r="E50" i="7" s="1"/>
  <c r="F79" i="7"/>
  <c r="D80" i="7"/>
  <c r="C73" i="7"/>
  <c r="C75" i="7"/>
  <c r="C77" i="7"/>
  <c r="C79" i="7"/>
  <c r="F80" i="7"/>
  <c r="F73" i="7"/>
  <c r="D74" i="7"/>
  <c r="F75" i="7"/>
  <c r="D76" i="7"/>
  <c r="F77" i="7"/>
  <c r="D78" i="7"/>
  <c r="D73" i="7"/>
  <c r="F74" i="7"/>
  <c r="D75" i="7"/>
  <c r="F76" i="7"/>
  <c r="D77" i="7"/>
  <c r="F78" i="7"/>
  <c r="D79" i="7"/>
  <c r="C74" i="7"/>
  <c r="C76" i="7"/>
  <c r="C78" i="7"/>
  <c r="C80" i="7"/>
  <c r="O16" i="6"/>
  <c r="N16" i="6"/>
  <c r="J13" i="4"/>
  <c r="C70" i="7"/>
  <c r="D12" i="7"/>
  <c r="D9" i="7"/>
  <c r="D11" i="7"/>
  <c r="D10" i="7"/>
  <c r="D70" i="7" s="1"/>
  <c r="B12" i="7"/>
  <c r="G83" i="7"/>
  <c r="F31" i="7"/>
  <c r="E15" i="8"/>
  <c r="U4" i="8"/>
  <c r="F32" i="7"/>
  <c r="F72" i="7" s="1"/>
  <c r="G43" i="7"/>
  <c r="N10" i="6"/>
  <c r="N15" i="6"/>
  <c r="E23" i="7"/>
  <c r="G23" i="7" s="1"/>
  <c r="D32" i="7"/>
  <c r="E32" i="7" s="1"/>
  <c r="D29" i="7"/>
  <c r="F29" i="7"/>
  <c r="D49" i="7"/>
  <c r="E49" i="7" s="1"/>
  <c r="D52" i="7"/>
  <c r="E52" i="7" s="1"/>
  <c r="G52" i="7" s="1"/>
  <c r="F50" i="7"/>
  <c r="F70" i="7" s="1"/>
  <c r="F51" i="7"/>
  <c r="F71" i="7" s="1"/>
  <c r="F49" i="7"/>
  <c r="C16" i="8" l="1"/>
  <c r="K8" i="8"/>
  <c r="H8" i="8"/>
  <c r="D71" i="7"/>
  <c r="E31" i="7"/>
  <c r="G31" i="7" s="1"/>
  <c r="G49" i="7"/>
  <c r="C15" i="8" s="1"/>
  <c r="C41" i="7"/>
  <c r="E41" i="7" s="1"/>
  <c r="M11" i="6"/>
  <c r="M13" i="6" s="1"/>
  <c r="F41" i="7"/>
  <c r="F45" i="7" s="1"/>
  <c r="N11" i="6"/>
  <c r="O11" i="6"/>
  <c r="C69" i="7"/>
  <c r="Q2" i="8" s="1"/>
  <c r="D41" i="7"/>
  <c r="D45" i="7" s="1"/>
  <c r="E11" i="7"/>
  <c r="G11" i="7" s="1"/>
  <c r="G51" i="7"/>
  <c r="C71" i="7"/>
  <c r="C21" i="7"/>
  <c r="C72" i="7"/>
  <c r="Q5" i="8" s="1"/>
  <c r="C81" i="7"/>
  <c r="C85" i="7" s="1"/>
  <c r="B8" i="8" s="1"/>
  <c r="Q13" i="8"/>
  <c r="E80" i="7"/>
  <c r="G80" i="7" s="1"/>
  <c r="R13" i="8" s="1"/>
  <c r="U2" i="8"/>
  <c r="E13" i="8"/>
  <c r="F69" i="7"/>
  <c r="F81" i="7" s="1"/>
  <c r="F85" i="7" s="1"/>
  <c r="G50" i="7"/>
  <c r="U5" i="8"/>
  <c r="E16" i="8"/>
  <c r="C25" i="7"/>
  <c r="Q3" i="8"/>
  <c r="H70" i="7" a="1"/>
  <c r="E70" i="7"/>
  <c r="G70" i="7" s="1"/>
  <c r="R3" i="8" s="1"/>
  <c r="Q11" i="8"/>
  <c r="E78" i="7"/>
  <c r="G78" i="7" s="1"/>
  <c r="R11" i="8" s="1"/>
  <c r="Q7" i="8"/>
  <c r="E74" i="7"/>
  <c r="G74" i="7" s="1"/>
  <c r="R7" i="8" s="1"/>
  <c r="E77" i="7"/>
  <c r="G77" i="7" s="1"/>
  <c r="R10" i="8" s="1"/>
  <c r="Q10" i="8"/>
  <c r="E73" i="7"/>
  <c r="G73" i="7" s="1"/>
  <c r="R6" i="8" s="1"/>
  <c r="Q6" i="8"/>
  <c r="E79" i="7"/>
  <c r="G79" i="7" s="1"/>
  <c r="R12" i="8" s="1"/>
  <c r="Q12" i="8"/>
  <c r="E75" i="7"/>
  <c r="G75" i="7" s="1"/>
  <c r="R8" i="8" s="1"/>
  <c r="Q8" i="8"/>
  <c r="E14" i="8"/>
  <c r="U3" i="8"/>
  <c r="B13" i="7"/>
  <c r="B32" i="7"/>
  <c r="B52" i="7" s="1"/>
  <c r="B72" i="7" s="1"/>
  <c r="P5" i="8" s="1"/>
  <c r="D69" i="7"/>
  <c r="E9" i="7"/>
  <c r="G9" i="7" s="1"/>
  <c r="D21" i="7"/>
  <c r="D25" i="7" s="1"/>
  <c r="C45" i="7"/>
  <c r="D72" i="7"/>
  <c r="E72" i="7" s="1"/>
  <c r="G72" i="7" s="1"/>
  <c r="R5" i="8" s="1"/>
  <c r="Q9" i="8"/>
  <c r="E76" i="7"/>
  <c r="G76" i="7" s="1"/>
  <c r="R9" i="8" s="1"/>
  <c r="F61" i="7"/>
  <c r="F65" i="7" s="1"/>
  <c r="D61" i="7"/>
  <c r="D65" i="7" s="1"/>
  <c r="G32" i="7"/>
  <c r="E12" i="7"/>
  <c r="G12" i="7" s="1"/>
  <c r="E29" i="7"/>
  <c r="G29" i="7" s="1"/>
  <c r="C65" i="7"/>
  <c r="E10" i="7"/>
  <c r="G10" i="7" s="1"/>
  <c r="K6" i="8"/>
  <c r="N13" i="6"/>
  <c r="O13" i="6"/>
  <c r="C14" i="8" l="1"/>
  <c r="B6" i="8"/>
  <c r="E71" i="7"/>
  <c r="G71" i="7" s="1"/>
  <c r="R4" i="8" s="1"/>
  <c r="Q4" i="8"/>
  <c r="H80" i="7"/>
  <c r="H76" i="7"/>
  <c r="H72" i="7"/>
  <c r="H79" i="7"/>
  <c r="H75" i="7"/>
  <c r="H71" i="7"/>
  <c r="H78" i="7"/>
  <c r="H74" i="7"/>
  <c r="H77" i="7"/>
  <c r="H73" i="7"/>
  <c r="H70" i="7"/>
  <c r="C13" i="8"/>
  <c r="E45" i="7"/>
  <c r="G41" i="7"/>
  <c r="D81" i="7"/>
  <c r="E69" i="7"/>
  <c r="G69" i="7" s="1"/>
  <c r="R2" i="8" s="1"/>
  <c r="B14" i="7"/>
  <c r="B33" i="7"/>
  <c r="B53" i="7" s="1"/>
  <c r="B73" i="7" s="1"/>
  <c r="P6" i="8" s="1"/>
  <c r="E61" i="7"/>
  <c r="E21" i="7"/>
  <c r="E25" i="7" l="1"/>
  <c r="G21" i="7"/>
  <c r="D85" i="7"/>
  <c r="E81" i="7"/>
  <c r="T3" i="8"/>
  <c r="D14" i="8"/>
  <c r="F14" i="8" s="1"/>
  <c r="G14" i="8" s="1"/>
  <c r="G45" i="7"/>
  <c r="E65" i="7"/>
  <c r="G61" i="7"/>
  <c r="B34" i="7"/>
  <c r="B54" i="7" s="1"/>
  <c r="B74" i="7" s="1"/>
  <c r="P7" i="8" s="1"/>
  <c r="B15" i="7"/>
  <c r="B35" i="7" l="1"/>
  <c r="B55" i="7" s="1"/>
  <c r="B75" i="7" s="1"/>
  <c r="P8" i="8" s="1"/>
  <c r="B16" i="7"/>
  <c r="T2" i="8"/>
  <c r="D13" i="8"/>
  <c r="F13" i="8" s="1"/>
  <c r="G13" i="8" s="1"/>
  <c r="G25" i="7"/>
  <c r="E85" i="7"/>
  <c r="G81" i="7"/>
  <c r="G65" i="7"/>
  <c r="D15" i="8"/>
  <c r="F15" i="8" s="1"/>
  <c r="G15" i="8" s="1"/>
  <c r="T4" i="8"/>
  <c r="D16" i="8" l="1"/>
  <c r="F16" i="8" s="1"/>
  <c r="G16" i="8" s="1"/>
  <c r="G85" i="7"/>
  <c r="E8" i="8" s="1"/>
  <c r="H6" i="8"/>
  <c r="T5" i="8"/>
  <c r="E6" i="8"/>
  <c r="B17" i="7"/>
  <c r="B36" i="7"/>
  <c r="B56" i="7" s="1"/>
  <c r="B76" i="7" s="1"/>
  <c r="P9" i="8" s="1"/>
  <c r="B18" i="7" l="1"/>
  <c r="B37" i="7"/>
  <c r="B57" i="7" s="1"/>
  <c r="B77" i="7" s="1"/>
  <c r="P10" i="8" s="1"/>
  <c r="B38" i="7" l="1"/>
  <c r="B58" i="7" s="1"/>
  <c r="B78" i="7" s="1"/>
  <c r="P11" i="8" s="1"/>
  <c r="B19" i="7"/>
  <c r="B20" i="7" l="1"/>
  <c r="B40" i="7" s="1"/>
  <c r="B60" i="7" s="1"/>
  <c r="B80" i="7" s="1"/>
  <c r="P13" i="8" s="1"/>
  <c r="B39" i="7"/>
  <c r="B59" i="7" s="1"/>
  <c r="B79" i="7" s="1"/>
  <c r="P12" i="8" s="1"/>
</calcChain>
</file>

<file path=xl/sharedStrings.xml><?xml version="1.0" encoding="utf-8"?>
<sst xmlns="http://schemas.openxmlformats.org/spreadsheetml/2006/main" count="161" uniqueCount="65">
  <si>
    <t>Business A</t>
  </si>
  <si>
    <t>Business B</t>
  </si>
  <si>
    <t>Business C</t>
  </si>
  <si>
    <t>Business Unit A: Financial Results</t>
  </si>
  <si>
    <t>Figures in USD</t>
  </si>
  <si>
    <t>YTD Actual</t>
  </si>
  <si>
    <t>YTD Budget</t>
  </si>
  <si>
    <t>Income Statement</t>
  </si>
  <si>
    <t>Revenue</t>
  </si>
  <si>
    <t>Cost of Goods Sold</t>
  </si>
  <si>
    <t>Gross Profit</t>
  </si>
  <si>
    <t>SG&amp;A Expenses</t>
  </si>
  <si>
    <t>Net Income</t>
  </si>
  <si>
    <t>Balance Sheet</t>
  </si>
  <si>
    <t>Cash Balance</t>
  </si>
  <si>
    <t>Accounts Receivable</t>
  </si>
  <si>
    <t>Accounts Payable</t>
  </si>
  <si>
    <t>Business Unit B: Financial Results</t>
  </si>
  <si>
    <t>Business Unit C: Financial Results</t>
  </si>
  <si>
    <t>Group Consolidation: Actual vs Budget</t>
  </si>
  <si>
    <t>Variance $</t>
  </si>
  <si>
    <t>Variance %</t>
  </si>
  <si>
    <t>F / U</t>
  </si>
  <si>
    <t>Variance Commentary</t>
  </si>
  <si>
    <t>Week 2: Forecast to Full Year (FORECAST.ETS)</t>
  </si>
  <si>
    <t>Figures in USD  |  Apr–Jul = actuals, Aug–Mar = FORECAST.ETS projections</t>
  </si>
  <si>
    <t>Month</t>
  </si>
  <si>
    <t>COGS</t>
  </si>
  <si>
    <t>SG&amp;A</t>
  </si>
  <si>
    <t>FY Outlook</t>
  </si>
  <si>
    <t>FY Budget</t>
  </si>
  <si>
    <t>Group</t>
  </si>
  <si>
    <t>Rev Growth %</t>
  </si>
  <si>
    <t>Forecast Commentary</t>
  </si>
  <si>
    <t>WEEK 3 | PERFORMANCE DASHBOARD</t>
  </si>
  <si>
    <t>Group FP&amp;A | YTD = Apr–Jul actuals | FY Outlook = 4 actual + 8 FORECAST.ETS months</t>
  </si>
  <si>
    <t>FY REVENUE OUTLOOK</t>
  </si>
  <si>
    <t>FY NET INCOME OUTLOOK</t>
  </si>
  <si>
    <t>NI MARGIN OUTLOOK</t>
  </si>
  <si>
    <t>YTD NI VARIANCE</t>
  </si>
  <si>
    <t>UNIT PERFORMANCE — NET INCOME</t>
  </si>
  <si>
    <t>Unit</t>
  </si>
  <si>
    <t>YTD NI Actual</t>
  </si>
  <si>
    <t>FY NI Outlook</t>
  </si>
  <si>
    <t>FY NI Budget</t>
  </si>
  <si>
    <t>Status</t>
  </si>
  <si>
    <t>GROUP MONTHLY TREND — REVENUE &amp; NET INCOME</t>
  </si>
  <si>
    <t>FY NET INCOME — OUTLOOK VS BUDGET</t>
  </si>
  <si>
    <t>EXECUTIVE TAKEAWAYS</t>
  </si>
  <si>
    <t>#</t>
  </si>
  <si>
    <r>
      <rPr>
        <sz val="9"/>
        <rFont val="Microsoft Sans Serif"/>
        <family val="2"/>
      </rPr>
      <t xml:space="preserve">The group full-year outlook strengthens: net income of ~$2.72M vs an annualized budget of $2.12M (+$0.60M),
</t>
    </r>
    <r>
      <rPr>
        <sz val="9"/>
        <rFont val="Microsoft Sans Serif"/>
        <family val="2"/>
      </rPr>
      <t>with NI margin improving from 17.8% (Apr–Jul actuals) to ~19.2% for the full year.</t>
    </r>
  </si>
  <si>
    <r>
      <rPr>
        <sz val="9"/>
        <rFont val="Microsoft Sans Serif"/>
        <family val="2"/>
      </rPr>
      <t xml:space="preserve">Business A and B extend their momentum, full-year NI outlooks of $840K and $1.89M, well ahead of annualized
</t>
    </r>
    <r>
      <rPr>
        <sz val="9"/>
        <rFont val="Microsoft Sans Serif"/>
        <family val="2"/>
      </rPr>
      <t>budgets ($630K / $1.26M).</t>
    </r>
  </si>
  <si>
    <r>
      <rPr>
        <sz val="9"/>
        <rFont val="Microsoft Sans Serif"/>
        <family val="2"/>
      </rPr>
      <t xml:space="preserve">Business C returns to monthly profit in December 2026: revenue growth outpaces cost growth, closing monthly NI
</t>
    </r>
    <r>
      <rPr>
        <sz val="9"/>
        <rFont val="Microsoft Sans Serif"/>
        <family val="2"/>
      </rPr>
      <t>from −$3.0K (Apr) to +$1.3K (Mar), though the full year still lands near breakeven (−$11K vs a $225K budget).</t>
    </r>
  </si>
  <si>
    <r>
      <rPr>
        <sz val="9"/>
        <rFont val="Microsoft Sans Serif"/>
        <family val="2"/>
      </rPr>
      <t xml:space="preserve">Watch the cost lines: the COGS and SG&amp;A trends are extrapolated from four months that ran over budget if cost
</t>
    </r>
    <r>
      <rPr>
        <sz val="9"/>
        <rFont val="Microsoft Sans Serif"/>
        <family val="2"/>
      </rPr>
      <t>inflation (not volume) drove the overruns, this forecast is optimistic.</t>
    </r>
  </si>
  <si>
    <t>Net income of $757K beat budget ($705K) by $52K (+7.4%), as a $148K (+3.6%) revenue outperformance more than offset cost overruns.</t>
  </si>
  <si>
    <t>Revenue and gross profit were favorable (+$148K / +$85K), but COGS (−$63K) and SG&amp;A (−$33K) both ran over budget, the two lines to watch.</t>
  </si>
  <si>
    <t>Business B (best case) drove the upside: revenue +10% and net income of $550K vs a $420K budget (+31%).</t>
  </si>
  <si>
    <t>Business C (worst case) was the main drag: revenue missed by ~9% and it posted a $10K loss against a $75K budget on cost overruns.</t>
  </si>
  <si>
    <t>Business A (base case) tracked plan: net income of $217K vs $210K (+3%); balance-sheet lines were broadly on budget.</t>
  </si>
  <si>
    <r>
      <rPr>
        <sz val="10"/>
        <rFont val="Calibri"/>
        <family val="2"/>
        <scheme val="minor"/>
      </rPr>
      <t>Next steps: investigate the COGS and SG&amp;A overruns (volume-driven by Business B's +10% revenue, or true cost inflation?), and review Business C's revenue shortfall and cost overruns given its
swing to a loss.</t>
    </r>
  </si>
  <si>
    <r>
      <rPr>
        <sz val="10"/>
        <color rgb="FF1F1F1F"/>
        <rFont val="Calibri"/>
        <family val="2"/>
      </rPr>
      <t>Group FY net income outlook is 2.72M vs 2.12M budget (+28%).</t>
    </r>
  </si>
  <si>
    <r>
      <rPr>
        <sz val="10"/>
        <color rgb="FF1F1F1F"/>
        <rFont val="Calibri"/>
        <family val="2"/>
      </rPr>
      <t>Business B is the largest upside driver at 1.89M FY NI, while Business A also remains above plan.</t>
    </r>
  </si>
  <si>
    <r>
      <rPr>
        <sz val="10"/>
        <color rgb="FF1F1F1F"/>
        <rFont val="Calibri"/>
        <family val="2"/>
      </rPr>
      <t>Business C improves through the forecast but remains below budget; validate its cost base and revenue assumptions before relying on the turnaround.</t>
    </r>
  </si>
  <si>
    <r>
      <rPr>
        <sz val="10"/>
        <color rgb="FF1F1F1F"/>
        <rFont val="Calibri"/>
        <family val="2"/>
      </rPr>
      <t>Group NI margin improves from 17.8% YTD to 19.2% FY outlook.</t>
    </r>
  </si>
  <si>
    <r>
      <rPr>
        <sz val="10"/>
        <color rgb="FF1F1F1F"/>
        <rFont val="Calibri"/>
        <family val="2"/>
      </rPr>
      <t>Key risk: COGS and SG&amp;A were already unfavorable YTD, while the ETS forecast uses only four actual months and no seasonality.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</si>
</sst>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mmm"/>
    <numFmt numFmtId="166" formatCode="#,##0;\(#,##0\)"/>
    <numFmt numFmtId="167" formatCode="_(#,##0.0%_);\(#,##0.0%\);_(&quot;–&quot;_);_(@_)"/>
  </numFmts>
  <fonts count="46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name val="Open Sans"/>
      <family val="2"/>
    </font>
    <font>
      <sz val="10"/>
      <name val="Arial"/>
      <family val="2"/>
    </font>
    <font>
      <b/>
      <sz val="14"/>
      <color rgb="FF3271D2"/>
      <name val="Open Sans"/>
      <family val="2"/>
    </font>
    <font>
      <b/>
      <sz val="10"/>
      <color rgb="FF000000"/>
      <name val="Open Sans"/>
      <family val="2"/>
    </font>
    <font>
      <sz val="11"/>
      <color theme="1"/>
      <name val="Open Sans"/>
      <family val="2"/>
    </font>
    <font>
      <sz val="10"/>
      <color rgb="FF3271D2"/>
      <name val="Open Sans"/>
      <family val="2"/>
    </font>
    <font>
      <sz val="10"/>
      <name val="Bookman"/>
      <family val="1"/>
    </font>
    <font>
      <sz val="10"/>
      <color rgb="FF000000"/>
      <name val="Open Sans"/>
      <family val="2"/>
    </font>
    <font>
      <i/>
      <sz val="9"/>
      <color rgb="FF000000"/>
      <name val="Open Sans"/>
      <family val="2"/>
    </font>
    <font>
      <b/>
      <sz val="10"/>
      <color rgb="FFFFFFFF"/>
      <name val="Open Sans"/>
      <family val="2"/>
    </font>
    <font>
      <b/>
      <sz val="10"/>
      <color rgb="FF000C3F"/>
      <name val="Open Sans"/>
      <family val="2"/>
    </font>
    <font>
      <b/>
      <sz val="10"/>
      <color theme="1"/>
      <name val="Open Sans"/>
      <family val="2"/>
    </font>
    <font>
      <sz val="10"/>
      <color rgb="FF008000"/>
      <name val="Open Sans"/>
      <family val="2"/>
    </font>
    <font>
      <b/>
      <sz val="11"/>
      <color rgb="FF000000"/>
      <name val="Open Sans"/>
      <family val="2"/>
    </font>
    <font>
      <i/>
      <sz val="9"/>
      <color theme="1"/>
      <name val="Open Sans"/>
      <family val="2"/>
    </font>
    <font>
      <b/>
      <sz val="11"/>
      <color rgb="FFFFFFFF"/>
      <name val="Open Sans"/>
      <family val="2"/>
    </font>
    <font>
      <b/>
      <sz val="11"/>
      <color rgb="FF000C3F"/>
      <name val="Open Sans"/>
      <family val="2"/>
    </font>
    <font>
      <b/>
      <sz val="10"/>
      <color indexed="8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20"/>
      <color rgb="FFFFFFFF"/>
      <name val="Calibri"/>
    </font>
    <font>
      <i/>
      <sz val="10"/>
      <color rgb="FF666666"/>
      <name val="Calibri"/>
    </font>
    <font>
      <b/>
      <sz val="9"/>
      <color rgb="FF1F4E78"/>
      <name val="Calibri"/>
    </font>
    <font>
      <b/>
      <sz val="18"/>
      <color rgb="FF1F1F1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sz val="9"/>
      <color rgb="FF1F1F1F"/>
      <name val="Calibri"/>
    </font>
    <font>
      <i/>
      <sz val="8"/>
      <color rgb="FF666666"/>
      <name val="Calibri"/>
    </font>
    <font>
      <sz val="11"/>
      <color rgb="FF1F1F1F"/>
      <name val="Calibri"/>
      <family val="2"/>
      <scheme val="minor"/>
    </font>
    <font>
      <b/>
      <sz val="11"/>
      <color rgb="FF1F1F1F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Open Sans"/>
    </font>
    <font>
      <sz val="9"/>
      <name val="Microsoft Sans Serif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1F1F1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0C3F"/>
        <bgColor rgb="FF000000"/>
      </patternFill>
    </fill>
    <fill>
      <patternFill patternType="solid">
        <fgColor rgb="FF000C3F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6F6F6"/>
        <bgColor rgb="FF000000"/>
      </patternFill>
    </fill>
    <fill>
      <patternFill patternType="solid">
        <fgColor rgb="FFF0F6FC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7F9FB"/>
      </patternFill>
    </fill>
  </fills>
  <borders count="18">
    <border>
      <left/>
      <right/>
      <top/>
      <bottom/>
      <diagonal/>
    </border>
    <border>
      <left/>
      <right/>
      <top style="medium">
        <color rgb="FF3271D2"/>
      </top>
      <bottom/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C3F"/>
      </top>
      <bottom/>
      <diagonal/>
    </border>
    <border>
      <left/>
      <right/>
      <top/>
      <bottom style="thin">
        <color rgb="FF000C3F"/>
      </bottom>
      <diagonal/>
    </border>
    <border>
      <left/>
      <right style="thin">
        <color rgb="FF000C3F"/>
      </right>
      <top style="thin">
        <color rgb="FF000C3F"/>
      </top>
      <bottom/>
      <diagonal/>
    </border>
    <border>
      <left/>
      <right style="thin">
        <color rgb="FF000C3F"/>
      </right>
      <top/>
      <bottom/>
      <diagonal/>
    </border>
    <border>
      <left/>
      <right style="thin">
        <color rgb="FF000C3F"/>
      </right>
      <top/>
      <bottom style="thin">
        <color rgb="FF000C3F"/>
      </bottom>
      <diagonal/>
    </border>
    <border>
      <left/>
      <right/>
      <top/>
      <bottom style="thin">
        <color rgb="FF3271D2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C3F"/>
      </left>
      <right style="thin">
        <color rgb="FF000C3F"/>
      </right>
      <top style="thin">
        <color rgb="FF000C3F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5" fillId="0" borderId="0"/>
    <xf numFmtId="0" fontId="7" fillId="0" borderId="0"/>
    <xf numFmtId="0" fontId="3" fillId="0" borderId="0"/>
    <xf numFmtId="0" fontId="4" fillId="0" borderId="0"/>
    <xf numFmtId="0" fontId="2" fillId="0" borderId="0"/>
    <xf numFmtId="0" fontId="12" fillId="0" borderId="0"/>
  </cellStyleXfs>
  <cellXfs count="110">
    <xf numFmtId="0" fontId="0" fillId="0" borderId="0" xfId="0"/>
    <xf numFmtId="0" fontId="6" fillId="0" borderId="0" xfId="2" applyFont="1"/>
    <xf numFmtId="0" fontId="1" fillId="0" borderId="0" xfId="0" applyFont="1"/>
    <xf numFmtId="37" fontId="11" fillId="0" borderId="0" xfId="0" applyNumberFormat="1" applyFont="1"/>
    <xf numFmtId="0" fontId="10" fillId="0" borderId="0" xfId="2" applyFont="1"/>
    <xf numFmtId="0" fontId="10" fillId="3" borderId="0" xfId="0" applyFont="1" applyFill="1"/>
    <xf numFmtId="0" fontId="8" fillId="4" borderId="0" xfId="0" applyFont="1" applyFill="1"/>
    <xf numFmtId="0" fontId="10" fillId="4" borderId="0" xfId="0" applyFont="1" applyFill="1"/>
    <xf numFmtId="0" fontId="14" fillId="0" borderId="0" xfId="0" applyFont="1"/>
    <xf numFmtId="0" fontId="16" fillId="0" borderId="0" xfId="0" applyFont="1"/>
    <xf numFmtId="37" fontId="13" fillId="0" borderId="0" xfId="0" applyNumberFormat="1" applyFont="1"/>
    <xf numFmtId="37" fontId="9" fillId="0" borderId="3" xfId="0" applyNumberFormat="1" applyFont="1" applyBorder="1"/>
    <xf numFmtId="37" fontId="9" fillId="0" borderId="4" xfId="0" applyNumberFormat="1" applyFont="1" applyBorder="1"/>
    <xf numFmtId="37" fontId="18" fillId="0" borderId="0" xfId="0" applyNumberFormat="1" applyFont="1"/>
    <xf numFmtId="164" fontId="13" fillId="0" borderId="0" xfId="0" applyNumberFormat="1" applyFont="1"/>
    <xf numFmtId="0" fontId="13" fillId="0" borderId="0" xfId="0" applyFont="1" applyAlignment="1">
      <alignment horizontal="center"/>
    </xf>
    <xf numFmtId="0" fontId="8" fillId="4" borderId="0" xfId="0" applyFont="1" applyFill="1" applyAlignment="1">
      <alignment vertical="center"/>
    </xf>
    <xf numFmtId="0" fontId="13" fillId="0" borderId="0" xfId="0" applyFont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center"/>
    </xf>
    <xf numFmtId="37" fontId="13" fillId="5" borderId="0" xfId="0" applyNumberFormat="1" applyFont="1" applyFill="1"/>
    <xf numFmtId="37" fontId="9" fillId="5" borderId="3" xfId="0" applyNumberFormat="1" applyFont="1" applyFill="1" applyBorder="1"/>
    <xf numFmtId="37" fontId="9" fillId="5" borderId="4" xfId="0" applyNumberFormat="1" applyFont="1" applyFill="1" applyBorder="1"/>
    <xf numFmtId="0" fontId="1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19" fillId="0" borderId="0" xfId="0" applyFont="1"/>
    <xf numFmtId="165" fontId="15" fillId="3" borderId="2" xfId="0" applyNumberFormat="1" applyFont="1" applyFill="1" applyBorder="1" applyAlignment="1">
      <alignment horizontal="right"/>
    </xf>
    <xf numFmtId="0" fontId="20" fillId="0" borderId="0" xfId="0" applyFont="1"/>
    <xf numFmtId="0" fontId="17" fillId="0" borderId="0" xfId="0" applyFont="1"/>
    <xf numFmtId="37" fontId="1" fillId="0" borderId="0" xfId="0" applyNumberFormat="1" applyFont="1"/>
    <xf numFmtId="37" fontId="9" fillId="0" borderId="0" xfId="0" applyNumberFormat="1" applyFont="1"/>
    <xf numFmtId="37" fontId="13" fillId="6" borderId="0" xfId="0" applyNumberFormat="1" applyFont="1" applyFill="1"/>
    <xf numFmtId="17" fontId="1" fillId="0" borderId="0" xfId="0" applyNumberFormat="1" applyFont="1" applyAlignment="1">
      <alignment horizontal="right"/>
    </xf>
    <xf numFmtId="17" fontId="1" fillId="6" borderId="0" xfId="0" applyNumberFormat="1" applyFont="1" applyFill="1" applyAlignment="1">
      <alignment horizontal="right"/>
    </xf>
    <xf numFmtId="37" fontId="1" fillId="6" borderId="0" xfId="0" applyNumberFormat="1" applyFont="1" applyFill="1"/>
    <xf numFmtId="0" fontId="10" fillId="2" borderId="0" xfId="0" applyFont="1" applyFill="1"/>
    <xf numFmtId="0" fontId="0" fillId="2" borderId="0" xfId="0" applyFill="1"/>
    <xf numFmtId="0" fontId="22" fillId="0" borderId="0" xfId="0" applyFont="1"/>
    <xf numFmtId="17" fontId="1" fillId="6" borderId="11" xfId="0" applyNumberFormat="1" applyFont="1" applyFill="1" applyBorder="1" applyAlignment="1">
      <alignment horizontal="right"/>
    </xf>
    <xf numFmtId="37" fontId="13" fillId="6" borderId="11" xfId="0" applyNumberFormat="1" applyFont="1" applyFill="1" applyBorder="1"/>
    <xf numFmtId="0" fontId="9" fillId="0" borderId="10" xfId="0" applyFont="1" applyBorder="1" applyAlignment="1">
      <alignment horizontal="right"/>
    </xf>
    <xf numFmtId="0" fontId="17" fillId="0" borderId="11" xfId="0" applyFont="1" applyBorder="1"/>
    <xf numFmtId="37" fontId="9" fillId="0" borderId="11" xfId="0" applyNumberFormat="1" applyFont="1" applyBorder="1"/>
    <xf numFmtId="0" fontId="17" fillId="0" borderId="12" xfId="0" applyFont="1" applyBorder="1"/>
    <xf numFmtId="37" fontId="9" fillId="0" borderId="12" xfId="0" applyNumberFormat="1" applyFont="1" applyBorder="1"/>
    <xf numFmtId="37" fontId="1" fillId="6" borderId="11" xfId="0" applyNumberFormat="1" applyFont="1" applyFill="1" applyBorder="1"/>
    <xf numFmtId="37" fontId="17" fillId="0" borderId="0" xfId="0" applyNumberFormat="1" applyFont="1"/>
    <xf numFmtId="37" fontId="17" fillId="0" borderId="11" xfId="0" applyNumberFormat="1" applyFont="1" applyBorder="1"/>
    <xf numFmtId="37" fontId="17" fillId="0" borderId="12" xfId="0" applyNumberFormat="1" applyFont="1" applyBorder="1"/>
    <xf numFmtId="0" fontId="1" fillId="0" borderId="6" xfId="0" applyFont="1" applyBorder="1"/>
    <xf numFmtId="0" fontId="23" fillId="0" borderId="10" xfId="0" applyFont="1" applyBorder="1" applyAlignment="1">
      <alignment horizontal="right"/>
    </xf>
    <xf numFmtId="0" fontId="9" fillId="0" borderId="10" xfId="0" applyFont="1" applyBorder="1"/>
    <xf numFmtId="0" fontId="24" fillId="0" borderId="0" xfId="0" applyFont="1"/>
    <xf numFmtId="0" fontId="6" fillId="0" borderId="0" xfId="0" applyFont="1"/>
    <xf numFmtId="0" fontId="25" fillId="0" borderId="1" xfId="0" applyFont="1" applyBorder="1"/>
    <xf numFmtId="0" fontId="25" fillId="0" borderId="0" xfId="0" applyFont="1"/>
    <xf numFmtId="0" fontId="25" fillId="0" borderId="0" xfId="0" applyFont="1" applyAlignment="1">
      <alignment horizontal="left" indent="1"/>
    </xf>
    <xf numFmtId="37" fontId="25" fillId="0" borderId="0" xfId="0" applyNumberFormat="1" applyFont="1"/>
    <xf numFmtId="164" fontId="25" fillId="0" borderId="0" xfId="0" applyNumberFormat="1" applyFont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left" indent="1"/>
    </xf>
    <xf numFmtId="37" fontId="24" fillId="0" borderId="3" xfId="0" applyNumberFormat="1" applyFont="1" applyBorder="1"/>
    <xf numFmtId="164" fontId="24" fillId="0" borderId="3" xfId="0" applyNumberFormat="1" applyFont="1" applyBorder="1"/>
    <xf numFmtId="0" fontId="24" fillId="0" borderId="3" xfId="0" applyFont="1" applyBorder="1" applyAlignment="1">
      <alignment horizontal="center"/>
    </xf>
    <xf numFmtId="37" fontId="24" fillId="0" borderId="4" xfId="0" applyNumberFormat="1" applyFont="1" applyBorder="1"/>
    <xf numFmtId="164" fontId="24" fillId="0" borderId="4" xfId="0" applyNumberFormat="1" applyFont="1" applyBorder="1"/>
    <xf numFmtId="0" fontId="24" fillId="0" borderId="4" xfId="0" applyFont="1" applyBorder="1" applyAlignment="1">
      <alignment horizontal="center"/>
    </xf>
    <xf numFmtId="0" fontId="10" fillId="0" borderId="0" xfId="0" applyFont="1"/>
    <xf numFmtId="167" fontId="0" fillId="0" borderId="0" xfId="0" applyNumberFormat="1"/>
    <xf numFmtId="167" fontId="0" fillId="0" borderId="11" xfId="0" applyNumberFormat="1" applyBorder="1"/>
    <xf numFmtId="0" fontId="37" fillId="0" borderId="0" xfId="0" applyFont="1"/>
    <xf numFmtId="0" fontId="31" fillId="7" borderId="15" xfId="0" applyFont="1" applyFill="1" applyBorder="1" applyAlignment="1">
      <alignment horizontal="center"/>
    </xf>
    <xf numFmtId="0" fontId="32" fillId="0" borderId="15" xfId="0" applyFont="1" applyBorder="1" applyAlignment="1">
      <alignment horizontal="center"/>
    </xf>
    <xf numFmtId="166" fontId="37" fillId="0" borderId="15" xfId="0" applyNumberFormat="1" applyFont="1" applyBorder="1" applyAlignment="1">
      <alignment horizontal="center"/>
    </xf>
    <xf numFmtId="0" fontId="33" fillId="10" borderId="15" xfId="0" applyFont="1" applyFill="1" applyBorder="1" applyAlignment="1">
      <alignment horizontal="center"/>
    </xf>
    <xf numFmtId="166" fontId="38" fillId="10" borderId="15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40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21" fillId="3" borderId="13" xfId="0" applyFont="1" applyFill="1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1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21" fillId="3" borderId="13" xfId="0" applyFont="1" applyFill="1" applyBorder="1"/>
    <xf numFmtId="0" fontId="26" fillId="7" borderId="0" xfId="0" applyFont="1" applyFill="1" applyAlignment="1">
      <alignment vertical="center"/>
    </xf>
    <xf numFmtId="0" fontId="0" fillId="0" borderId="0" xfId="0"/>
    <xf numFmtId="166" fontId="29" fillId="8" borderId="14" xfId="0" applyNumberFormat="1" applyFont="1" applyFill="1" applyBorder="1" applyAlignment="1">
      <alignment horizontal="center" vertical="center"/>
    </xf>
    <xf numFmtId="0" fontId="0" fillId="8" borderId="14" xfId="0" applyFill="1" applyBorder="1"/>
    <xf numFmtId="0" fontId="28" fillId="8" borderId="14" xfId="0" applyFont="1" applyFill="1" applyBorder="1" applyAlignment="1">
      <alignment horizontal="center" vertical="center"/>
    </xf>
    <xf numFmtId="0" fontId="34" fillId="9" borderId="0" xfId="0" applyFont="1" applyFill="1" applyAlignment="1">
      <alignment horizontal="left"/>
    </xf>
    <xf numFmtId="0" fontId="27" fillId="0" borderId="0" xfId="0" applyFont="1" applyAlignment="1">
      <alignment vertical="center"/>
    </xf>
    <xf numFmtId="0" fontId="35" fillId="8" borderId="14" xfId="0" applyFont="1" applyFill="1" applyBorder="1" applyAlignment="1">
      <alignment horizontal="center" vertical="center"/>
    </xf>
    <xf numFmtId="164" fontId="29" fillId="8" borderId="14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/>
    </xf>
    <xf numFmtId="0" fontId="30" fillId="9" borderId="0" xfId="0" applyFont="1" applyFill="1" applyAlignment="1">
      <alignment horizontal="left"/>
    </xf>
    <xf numFmtId="0" fontId="30" fillId="9" borderId="0" xfId="0" applyFont="1" applyFill="1"/>
    <xf numFmtId="0" fontId="42" fillId="0" borderId="16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42" fillId="0" borderId="17" xfId="0" applyFont="1" applyBorder="1" applyAlignment="1">
      <alignment horizontal="left" vertical="top" wrapText="1"/>
    </xf>
    <xf numFmtId="0" fontId="43" fillId="0" borderId="16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43" fillId="0" borderId="17" xfId="0" applyFont="1" applyBorder="1" applyAlignment="1">
      <alignment horizontal="left" vertical="top" wrapText="1"/>
    </xf>
    <xf numFmtId="0" fontId="44" fillId="11" borderId="16" xfId="0" applyFont="1" applyFill="1" applyBorder="1" applyAlignment="1">
      <alignment horizontal="left" vertical="top" wrapText="1"/>
    </xf>
    <xf numFmtId="0" fontId="44" fillId="11" borderId="4" xfId="0" applyFont="1" applyFill="1" applyBorder="1" applyAlignment="1">
      <alignment horizontal="left" vertical="top" wrapText="1"/>
    </xf>
    <xf numFmtId="0" fontId="44" fillId="11" borderId="17" xfId="0" applyFont="1" applyFill="1" applyBorder="1" applyAlignment="1">
      <alignment horizontal="left" vertical="top" wrapText="1"/>
    </xf>
  </cellXfs>
  <cellStyles count="7">
    <cellStyle name="Comma 2 2" xfId="6" xr:uid="{00000000-0005-0000-0000-000000000000}"/>
    <cellStyle name="Hyperlink 2 2" xfId="1" xr:uid="{00000000-0005-0000-0000-000001000000}"/>
    <cellStyle name="Hyperlink 2 3" xfId="4" xr:uid="{00000000-0005-0000-0000-000002000000}"/>
    <cellStyle name="Normal" xfId="0" builtinId="0"/>
    <cellStyle name="Normal 2" xfId="2" xr:uid="{00000000-0005-0000-0000-000004000000}"/>
    <cellStyle name="Normal 2 2 2" xfId="3" xr:uid="{00000000-0005-0000-0000-000005000000}"/>
    <cellStyle name="Normal 3" xfId="5" xr:uid="{00000000-0005-0000-0000-000006000000}"/>
  </cellStyles>
  <dxfs count="3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b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'Week 3 Dashboard'!$Q$1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cat>
            <c:numRef>
              <c:f>'Week 3 Dashboard'!$P$2:$P$13</c:f>
              <c:numCache>
                <c:formatCode>General</c:formatCode>
                <c:ptCount val="12"/>
                <c:pt idx="0">
                  <c:v>46142</c:v>
                </c:pt>
                <c:pt idx="1">
                  <c:v>46172</c:v>
                </c:pt>
                <c:pt idx="2">
                  <c:v>46203</c:v>
                </c:pt>
                <c:pt idx="3">
                  <c:v>46233</c:v>
                </c:pt>
                <c:pt idx="4">
                  <c:v>46264</c:v>
                </c:pt>
                <c:pt idx="5">
                  <c:v>46295</c:v>
                </c:pt>
                <c:pt idx="6">
                  <c:v>46325</c:v>
                </c:pt>
                <c:pt idx="7">
                  <c:v>46356</c:v>
                </c:pt>
                <c:pt idx="8">
                  <c:v>46386</c:v>
                </c:pt>
                <c:pt idx="9">
                  <c:v>46417</c:v>
                </c:pt>
                <c:pt idx="10">
                  <c:v>46446</c:v>
                </c:pt>
                <c:pt idx="11">
                  <c:v>46474</c:v>
                </c:pt>
              </c:numCache>
            </c:numRef>
          </c:cat>
          <c:val>
            <c:numRef>
              <c:f>'Week 3 Dashboard'!$Q$2:$Q$13</c:f>
              <c:numCache>
                <c:formatCode>General</c:formatCode>
                <c:ptCount val="12"/>
                <c:pt idx="0">
                  <c:v>1020000</c:v>
                </c:pt>
                <c:pt idx="1">
                  <c:v>1047000</c:v>
                </c:pt>
                <c:pt idx="2">
                  <c:v>1086000</c:v>
                </c:pt>
                <c:pt idx="3">
                  <c:v>1105000</c:v>
                </c:pt>
                <c:pt idx="4">
                  <c:v>1136738.4777454287</c:v>
                </c:pt>
                <c:pt idx="5">
                  <c:v>1165884.2256132858</c:v>
                </c:pt>
                <c:pt idx="6">
                  <c:v>1195029.9734811429</c:v>
                </c:pt>
                <c:pt idx="7">
                  <c:v>1224175.721349</c:v>
                </c:pt>
                <c:pt idx="8">
                  <c:v>1253321.4692168571</c:v>
                </c:pt>
                <c:pt idx="9">
                  <c:v>1282467.2170847142</c:v>
                </c:pt>
                <c:pt idx="10">
                  <c:v>1309732.5941223875</c:v>
                </c:pt>
                <c:pt idx="11">
                  <c:v>1338676.8736870103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1D-47AE-AA65-229A17D36D44}"/>
            </c:ext>
          </c:extLst>
        </c:ser>
        <c:ser>
          <c:idx val="1"/>
          <c:order val="1"/>
          <c:tx>
            <c:strRef>
              <c:f>'Week 3 Dashboard'!$R$1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numRef>
              <c:f>'Week 3 Dashboard'!$P$2:$P$13</c:f>
              <c:numCache>
                <c:formatCode>General</c:formatCode>
                <c:ptCount val="12"/>
                <c:pt idx="0">
                  <c:v>46142</c:v>
                </c:pt>
                <c:pt idx="1">
                  <c:v>46172</c:v>
                </c:pt>
                <c:pt idx="2">
                  <c:v>46203</c:v>
                </c:pt>
                <c:pt idx="3">
                  <c:v>46233</c:v>
                </c:pt>
                <c:pt idx="4">
                  <c:v>46264</c:v>
                </c:pt>
                <c:pt idx="5">
                  <c:v>46295</c:v>
                </c:pt>
                <c:pt idx="6">
                  <c:v>46325</c:v>
                </c:pt>
                <c:pt idx="7">
                  <c:v>46356</c:v>
                </c:pt>
                <c:pt idx="8">
                  <c:v>46386</c:v>
                </c:pt>
                <c:pt idx="9">
                  <c:v>46417</c:v>
                </c:pt>
                <c:pt idx="10">
                  <c:v>46446</c:v>
                </c:pt>
                <c:pt idx="11">
                  <c:v>46474</c:v>
                </c:pt>
              </c:numCache>
            </c:numRef>
          </c:cat>
          <c:val>
            <c:numRef>
              <c:f>'Week 3 Dashboard'!$R$2:$R$13</c:f>
              <c:numCache>
                <c:formatCode>General</c:formatCode>
                <c:ptCount val="12"/>
                <c:pt idx="0">
                  <c:v>176000</c:v>
                </c:pt>
                <c:pt idx="1">
                  <c:v>183000</c:v>
                </c:pt>
                <c:pt idx="2">
                  <c:v>195000</c:v>
                </c:pt>
                <c:pt idx="3">
                  <c:v>203000</c:v>
                </c:pt>
                <c:pt idx="4">
                  <c:v>212539.4354082144</c:v>
                </c:pt>
                <c:pt idx="5">
                  <c:v>221823.5538365001</c:v>
                </c:pt>
                <c:pt idx="6">
                  <c:v>231107.6722647858</c:v>
                </c:pt>
                <c:pt idx="7">
                  <c:v>240391.79069307144</c:v>
                </c:pt>
                <c:pt idx="8">
                  <c:v>249675.90912135714</c:v>
                </c:pt>
                <c:pt idx="9">
                  <c:v>258960.02754964284</c:v>
                </c:pt>
                <c:pt idx="10">
                  <c:v>267645.17059545894</c:v>
                </c:pt>
                <c:pt idx="11">
                  <c:v>276865.11308990821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1D-47AE-AA65-229A17D36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272144"/>
        <c:axId val="1823454496"/>
      </c:lineChart>
      <c:catAx>
        <c:axId val="19992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454496"/>
        <c:crosses val="autoZero"/>
        <c:auto val="1"/>
        <c:lblAlgn val="ctr"/>
        <c:lblOffset val="100"/>
        <c:noMultiLvlLbl val="1"/>
      </c:catAx>
      <c:valAx>
        <c:axId val="18234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'Week 3 Dashboard'!$T$1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 3 Dashboard'!$S$2:$S$5</c:f>
              <c:strCache>
                <c:ptCount val="4"/>
                <c:pt idx="0">
                  <c:v>Business A</c:v>
                </c:pt>
                <c:pt idx="1">
                  <c:v>Business B</c:v>
                </c:pt>
                <c:pt idx="2">
                  <c:v>Business C</c:v>
                </c:pt>
                <c:pt idx="3">
                  <c:v>Group</c:v>
                </c:pt>
              </c:strCache>
            </c:strRef>
          </c:cat>
          <c:val>
            <c:numRef>
              <c:f>'Week 3 Dashboard'!$T$2:$T$5</c:f>
              <c:numCache>
                <c:formatCode>General</c:formatCode>
                <c:ptCount val="4"/>
                <c:pt idx="0">
                  <c:v>839033.4769242449</c:v>
                </c:pt>
                <c:pt idx="1">
                  <c:v>1887944.1902965379</c:v>
                </c:pt>
                <c:pt idx="2">
                  <c:v>-10968.99466184387</c:v>
                </c:pt>
                <c:pt idx="3">
                  <c:v>2716008.6725589386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B-4842-9DC3-1BF9E068C0FF}"/>
            </c:ext>
          </c:extLst>
        </c:ser>
        <c:ser>
          <c:idx val="1"/>
          <c:order val="1"/>
          <c:tx>
            <c:strRef>
              <c:f>'Week 3 Dashboard'!$U$1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'Week 3 Dashboard'!$S$2:$S$5</c:f>
              <c:strCache>
                <c:ptCount val="4"/>
                <c:pt idx="0">
                  <c:v>Business A</c:v>
                </c:pt>
                <c:pt idx="1">
                  <c:v>Business B</c:v>
                </c:pt>
                <c:pt idx="2">
                  <c:v>Business C</c:v>
                </c:pt>
                <c:pt idx="3">
                  <c:v>Group</c:v>
                </c:pt>
              </c:strCache>
            </c:strRef>
          </c:cat>
          <c:val>
            <c:numRef>
              <c:f>'Week 3 Dashboard'!$U$2:$U$5</c:f>
              <c:numCache>
                <c:formatCode>General</c:formatCode>
                <c:ptCount val="4"/>
                <c:pt idx="0">
                  <c:v>630000</c:v>
                </c:pt>
                <c:pt idx="1">
                  <c:v>1260000</c:v>
                </c:pt>
                <c:pt idx="2">
                  <c:v>225000</c:v>
                </c:pt>
                <c:pt idx="3">
                  <c:v>2115000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EB-4842-9DC3-1BF9E068C0F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2060334064"/>
        <c:axId val="2060334608"/>
      </c:barChart>
      <c:catAx>
        <c:axId val="206033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34608"/>
        <c:crosses val="autoZero"/>
        <c:auto val="1"/>
        <c:lblAlgn val="ctr"/>
        <c:lblOffset val="100"/>
        <c:noMultiLvlLbl val="1"/>
      </c:catAx>
      <c:valAx>
        <c:axId val="20603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3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529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529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01578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01578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01578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01578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130967</xdr:colOff>
      <xdr:row>0</xdr:row>
      <xdr:rowOff>138154</xdr:rowOff>
    </xdr:from>
    <xdr:ext cx="1211037" cy="354142"/>
    <xdr:pic>
      <xdr:nvPicPr>
        <xdr:cNvPr id="3" name="Picture 2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62" y="138154"/>
          <a:ext cx="1211037" cy="354142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4752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7520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40"/>
  <sheetViews>
    <sheetView showGridLines="0" zoomScaleNormal="100" zoomScaleSheetLayoutView="85" workbookViewId="0">
      <selection activeCell="F15" sqref="F15"/>
    </sheetView>
  </sheetViews>
  <sheetFormatPr defaultColWidth="9.140625" defaultRowHeight="15" customHeight="1" outlineLevelRow="1"/>
  <cols>
    <col min="1" max="1" width="8.7109375" style="1" customWidth="1"/>
    <col min="2" max="2" width="26" style="1" customWidth="1"/>
    <col min="3" max="4" width="2.140625" style="1" customWidth="1"/>
    <col min="5" max="8" width="13.42578125" style="1" customWidth="1"/>
    <col min="9" max="9" width="2.42578125" style="1" customWidth="1"/>
    <col min="10" max="11" width="15.5703125" style="1" customWidth="1"/>
    <col min="12" max="12" width="9.140625" style="1" customWidth="1"/>
    <col min="13" max="16384" width="9.140625" style="1"/>
  </cols>
  <sheetData>
    <row r="1" spans="1:26" ht="50.1" customHeight="1">
      <c r="A1" s="67"/>
      <c r="B1" s="5"/>
      <c r="C1" s="5"/>
      <c r="D1" s="5"/>
      <c r="E1" s="5"/>
      <c r="F1" s="5"/>
      <c r="G1" s="5"/>
      <c r="H1" s="5"/>
      <c r="I1" s="5"/>
      <c r="J1" s="5"/>
      <c r="K1" s="5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s="4" customFormat="1" ht="15" customHeight="1">
      <c r="A3" s="67"/>
      <c r="B3" s="16" t="s">
        <v>3</v>
      </c>
      <c r="C3" s="7"/>
      <c r="D3" s="7"/>
      <c r="E3" s="7"/>
      <c r="F3" s="7"/>
      <c r="G3" s="7"/>
      <c r="H3" s="7"/>
      <c r="I3" s="7"/>
      <c r="J3" s="7"/>
      <c r="K3" s="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s="4" customFormat="1" ht="15" customHeight="1" outlineLevel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" customHeight="1" outlineLevel="1">
      <c r="A5" s="67"/>
      <c r="B5" s="8" t="s">
        <v>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outlineLevel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outlineLevel="1" thickBot="1">
      <c r="A7" s="67"/>
      <c r="B7" s="67"/>
      <c r="C7" s="67"/>
      <c r="D7" s="67"/>
      <c r="E7" s="26">
        <v>46142</v>
      </c>
      <c r="F7" s="26">
        <f>EOMONTH(E7,1)</f>
        <v>46173</v>
      </c>
      <c r="G7" s="26">
        <f>EOMONTH(F7,1)</f>
        <v>46203</v>
      </c>
      <c r="H7" s="26">
        <f>EOMONTH(G7,1)</f>
        <v>46234</v>
      </c>
      <c r="I7" s="67"/>
      <c r="J7" s="18" t="s">
        <v>5</v>
      </c>
      <c r="K7" s="18" t="s">
        <v>6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" customHeight="1" outlineLevel="1">
      <c r="A8" s="67"/>
      <c r="B8" s="9" t="s">
        <v>7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" customHeight="1" outlineLevel="1">
      <c r="A9" s="67"/>
      <c r="B9" s="23" t="s">
        <v>8</v>
      </c>
      <c r="C9" s="67"/>
      <c r="D9" s="67"/>
      <c r="E9" s="3">
        <v>315000</v>
      </c>
      <c r="F9" s="3">
        <v>322000</v>
      </c>
      <c r="G9" s="3">
        <v>335000</v>
      </c>
      <c r="H9" s="3">
        <v>341000</v>
      </c>
      <c r="I9" s="67"/>
      <c r="J9" s="20">
        <f>SUM(E9:H9)</f>
        <v>1313000</v>
      </c>
      <c r="K9" s="3">
        <v>1300000</v>
      </c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" customHeight="1" outlineLevel="1">
      <c r="A10" s="67"/>
      <c r="B10" s="23" t="s">
        <v>9</v>
      </c>
      <c r="C10" s="67"/>
      <c r="D10" s="67"/>
      <c r="E10" s="3">
        <v>-188000</v>
      </c>
      <c r="F10" s="3">
        <v>-192000</v>
      </c>
      <c r="G10" s="3">
        <v>-199000</v>
      </c>
      <c r="H10" s="3">
        <v>-199000</v>
      </c>
      <c r="I10" s="67"/>
      <c r="J10" s="20">
        <f>SUM(E10:H10)</f>
        <v>-778000</v>
      </c>
      <c r="K10" s="3">
        <v>-770000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" customHeight="1" outlineLevel="1">
      <c r="A11" s="67"/>
      <c r="B11" s="24" t="s">
        <v>10</v>
      </c>
      <c r="C11" s="67"/>
      <c r="D11" s="67"/>
      <c r="E11" s="21">
        <f>SUM(E9:E10)</f>
        <v>127000</v>
      </c>
      <c r="F11" s="21">
        <f>SUM(F9:F10)</f>
        <v>130000</v>
      </c>
      <c r="G11" s="21">
        <f>SUM(G9:G10)</f>
        <v>136000</v>
      </c>
      <c r="H11" s="21">
        <f>SUM(H9:H10)</f>
        <v>142000</v>
      </c>
      <c r="I11" s="67"/>
      <c r="J11" s="21">
        <f>SUM(J9:J10)</f>
        <v>535000</v>
      </c>
      <c r="K11" s="11">
        <f>SUM(K9:K10)</f>
        <v>530000</v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" customHeight="1" outlineLevel="1">
      <c r="A12" s="67"/>
      <c r="B12" s="23" t="s">
        <v>11</v>
      </c>
      <c r="C12" s="67"/>
      <c r="D12" s="67"/>
      <c r="E12" s="3">
        <v>-77000</v>
      </c>
      <c r="F12" s="3">
        <v>-79000</v>
      </c>
      <c r="G12" s="3">
        <v>-81000</v>
      </c>
      <c r="H12" s="3">
        <v>-81000</v>
      </c>
      <c r="I12" s="67"/>
      <c r="J12" s="20">
        <f>SUM(E12:H12)</f>
        <v>-318000</v>
      </c>
      <c r="K12" s="3">
        <v>-320000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" customHeight="1" outlineLevel="1">
      <c r="A13" s="67"/>
      <c r="B13" s="24" t="s">
        <v>12</v>
      </c>
      <c r="C13" s="67"/>
      <c r="D13" s="67"/>
      <c r="E13" s="22">
        <f>SUM(E11:E12)</f>
        <v>50000</v>
      </c>
      <c r="F13" s="22">
        <f>SUM(F11:F12)</f>
        <v>51000</v>
      </c>
      <c r="G13" s="22">
        <f>SUM(G11:G12)</f>
        <v>55000</v>
      </c>
      <c r="H13" s="22">
        <f>SUM(H11:H12)</f>
        <v>61000</v>
      </c>
      <c r="I13" s="67"/>
      <c r="J13" s="22">
        <f>SUM(J11:J12)</f>
        <v>217000</v>
      </c>
      <c r="K13" s="12">
        <f>SUM(K11:K12)</f>
        <v>210000</v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" customHeight="1" outlineLevel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" customHeight="1" outlineLevel="1">
      <c r="A15" s="67"/>
      <c r="B15" s="9" t="s">
        <v>13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" customHeight="1" outlineLevel="1">
      <c r="A16" s="67"/>
      <c r="B16" s="23" t="s">
        <v>14</v>
      </c>
      <c r="C16" s="67"/>
      <c r="D16" s="67"/>
      <c r="E16" s="3">
        <v>110000</v>
      </c>
      <c r="F16" s="3">
        <v>130000</v>
      </c>
      <c r="G16" s="3">
        <v>160000</v>
      </c>
      <c r="H16" s="3">
        <v>196000</v>
      </c>
      <c r="I16" s="67"/>
      <c r="J16" s="20">
        <f>H16</f>
        <v>196000</v>
      </c>
      <c r="K16" s="3">
        <v>190000</v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" customHeight="1" outlineLevel="1">
      <c r="A17" s="67"/>
      <c r="B17" s="23" t="s">
        <v>15</v>
      </c>
      <c r="C17" s="67"/>
      <c r="D17" s="67"/>
      <c r="E17" s="3">
        <v>67000</v>
      </c>
      <c r="F17" s="3">
        <v>72000</v>
      </c>
      <c r="G17" s="3">
        <v>77000</v>
      </c>
      <c r="H17" s="3">
        <v>81000</v>
      </c>
      <c r="I17" s="67"/>
      <c r="J17" s="20">
        <f>H17</f>
        <v>81000</v>
      </c>
      <c r="K17" s="3">
        <v>80000</v>
      </c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" customHeight="1" outlineLevel="1">
      <c r="A18" s="67"/>
      <c r="B18" s="23" t="s">
        <v>16</v>
      </c>
      <c r="C18" s="67"/>
      <c r="D18" s="67"/>
      <c r="E18" s="3">
        <v>55000</v>
      </c>
      <c r="F18" s="3">
        <v>58000</v>
      </c>
      <c r="G18" s="3">
        <v>60000</v>
      </c>
      <c r="H18" s="3">
        <v>57000</v>
      </c>
      <c r="I18" s="67"/>
      <c r="J18" s="20">
        <f>H18</f>
        <v>57000</v>
      </c>
      <c r="K18" s="3">
        <v>58000</v>
      </c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" customHeight="1" outlineLevel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" customHeight="1" outlineLevel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</sheetData>
  <printOptions horizontalCentered="1"/>
  <pageMargins left="0" right="0" top="0" bottom="0" header="0" footer="0"/>
  <pageSetup scale="9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Z40"/>
  <sheetViews>
    <sheetView showGridLines="0" zoomScaleNormal="100" zoomScaleSheetLayoutView="85" workbookViewId="0"/>
  </sheetViews>
  <sheetFormatPr defaultColWidth="9.140625" defaultRowHeight="15" customHeight="1" outlineLevelRow="1"/>
  <cols>
    <col min="1" max="1" width="8.7109375" style="1" customWidth="1"/>
    <col min="2" max="2" width="26" style="1" customWidth="1"/>
    <col min="3" max="4" width="2.140625" style="1" customWidth="1"/>
    <col min="5" max="8" width="13.42578125" style="1" customWidth="1"/>
    <col min="9" max="9" width="2.42578125" style="1" customWidth="1"/>
    <col min="10" max="11" width="15.5703125" style="1" customWidth="1"/>
    <col min="12" max="12" width="9.140625" style="1" customWidth="1"/>
    <col min="13" max="16384" width="9.140625" style="1"/>
  </cols>
  <sheetData>
    <row r="1" spans="1:26" ht="50.1" customHeight="1">
      <c r="A1" s="67"/>
      <c r="B1" s="5"/>
      <c r="C1" s="5"/>
      <c r="D1" s="5"/>
      <c r="E1" s="5"/>
      <c r="F1" s="5"/>
      <c r="G1" s="5"/>
      <c r="H1" s="5"/>
      <c r="I1" s="5"/>
      <c r="J1" s="5"/>
      <c r="K1" s="5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s="4" customFormat="1" ht="15" customHeight="1">
      <c r="A3" s="67"/>
      <c r="B3" s="16" t="s">
        <v>17</v>
      </c>
      <c r="C3" s="7"/>
      <c r="D3" s="7"/>
      <c r="E3" s="7"/>
      <c r="F3" s="7"/>
      <c r="G3" s="7"/>
      <c r="H3" s="7"/>
      <c r="I3" s="7"/>
      <c r="J3" s="7"/>
      <c r="K3" s="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s="4" customFormat="1" ht="15" customHeight="1" outlineLevel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" customHeight="1" outlineLevel="1">
      <c r="A5" s="67"/>
      <c r="B5" s="8" t="s">
        <v>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outlineLevel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outlineLevel="1" thickBot="1">
      <c r="A7" s="67"/>
      <c r="B7" s="67"/>
      <c r="C7" s="67"/>
      <c r="D7" s="67"/>
      <c r="E7" s="26">
        <v>46142</v>
      </c>
      <c r="F7" s="26">
        <f>EOMONTH(E7,1)</f>
        <v>46173</v>
      </c>
      <c r="G7" s="26">
        <f>EOMONTH(F7,1)</f>
        <v>46203</v>
      </c>
      <c r="H7" s="26">
        <f>EOMONTH(G7,1)</f>
        <v>46234</v>
      </c>
      <c r="I7" s="67"/>
      <c r="J7" s="18" t="s">
        <v>5</v>
      </c>
      <c r="K7" s="18" t="s">
        <v>6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" customHeight="1" outlineLevel="1">
      <c r="A8" s="67"/>
      <c r="B8" s="9" t="s">
        <v>7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" customHeight="1" outlineLevel="1">
      <c r="A9" s="67"/>
      <c r="B9" s="23" t="s">
        <v>8</v>
      </c>
      <c r="C9" s="67"/>
      <c r="D9" s="67"/>
      <c r="E9" s="3">
        <v>540000</v>
      </c>
      <c r="F9" s="3">
        <v>555000</v>
      </c>
      <c r="G9" s="3">
        <v>575000</v>
      </c>
      <c r="H9" s="3">
        <v>585000</v>
      </c>
      <c r="I9" s="67"/>
      <c r="J9" s="20">
        <f>SUM(E9:H9)</f>
        <v>2255000</v>
      </c>
      <c r="K9" s="3">
        <v>2050000</v>
      </c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" customHeight="1" outlineLevel="1">
      <c r="A10" s="67"/>
      <c r="B10" s="23" t="s">
        <v>9</v>
      </c>
      <c r="C10" s="67"/>
      <c r="D10" s="67"/>
      <c r="E10" s="3">
        <v>-298000</v>
      </c>
      <c r="F10" s="3">
        <v>-305000</v>
      </c>
      <c r="G10" s="3">
        <v>-315000</v>
      </c>
      <c r="H10" s="3">
        <v>-322000</v>
      </c>
      <c r="I10" s="67"/>
      <c r="J10" s="20">
        <f>SUM(E10:H10)</f>
        <v>-1240000</v>
      </c>
      <c r="K10" s="3">
        <v>-1180000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" customHeight="1" outlineLevel="1">
      <c r="A11" s="67"/>
      <c r="B11" s="24" t="s">
        <v>10</v>
      </c>
      <c r="C11" s="67"/>
      <c r="D11" s="67"/>
      <c r="E11" s="21">
        <f>SUM(E9:E10)</f>
        <v>242000</v>
      </c>
      <c r="F11" s="21">
        <f>SUM(F9:F10)</f>
        <v>250000</v>
      </c>
      <c r="G11" s="21">
        <f>SUM(G9:G10)</f>
        <v>260000</v>
      </c>
      <c r="H11" s="21">
        <f>SUM(H9:H10)</f>
        <v>263000</v>
      </c>
      <c r="I11" s="67"/>
      <c r="J11" s="21">
        <f>SUM(J9:J10)</f>
        <v>1015000</v>
      </c>
      <c r="K11" s="11">
        <f>SUM(K9:K10)</f>
        <v>870000</v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" customHeight="1" outlineLevel="1">
      <c r="A12" s="67"/>
      <c r="B12" s="23" t="s">
        <v>11</v>
      </c>
      <c r="C12" s="67"/>
      <c r="D12" s="67"/>
      <c r="E12" s="3">
        <v>-113000</v>
      </c>
      <c r="F12" s="3">
        <v>-115000</v>
      </c>
      <c r="G12" s="3">
        <v>-118000</v>
      </c>
      <c r="H12" s="3">
        <v>-119000</v>
      </c>
      <c r="I12" s="67"/>
      <c r="J12" s="20">
        <f>SUM(E12:H12)</f>
        <v>-465000</v>
      </c>
      <c r="K12" s="3">
        <v>-450000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" customHeight="1" outlineLevel="1">
      <c r="A13" s="67"/>
      <c r="B13" s="24" t="s">
        <v>12</v>
      </c>
      <c r="C13" s="67"/>
      <c r="D13" s="67"/>
      <c r="E13" s="22">
        <f>SUM(E11:E12)</f>
        <v>129000</v>
      </c>
      <c r="F13" s="22">
        <f>SUM(F11:F12)</f>
        <v>135000</v>
      </c>
      <c r="G13" s="22">
        <f>SUM(G11:G12)</f>
        <v>142000</v>
      </c>
      <c r="H13" s="22">
        <f>SUM(H11:H12)</f>
        <v>144000</v>
      </c>
      <c r="I13" s="67"/>
      <c r="J13" s="22">
        <f>SUM(J11:J12)</f>
        <v>550000</v>
      </c>
      <c r="K13" s="12">
        <f>SUM(K11:K12)</f>
        <v>420000</v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" customHeight="1" outlineLevel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" customHeight="1" outlineLevel="1">
      <c r="A15" s="67"/>
      <c r="B15" s="9" t="s">
        <v>13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" customHeight="1" outlineLevel="1">
      <c r="A16" s="67"/>
      <c r="B16" s="23" t="s">
        <v>14</v>
      </c>
      <c r="C16" s="67"/>
      <c r="D16" s="67"/>
      <c r="E16" s="3">
        <v>170000</v>
      </c>
      <c r="F16" s="3">
        <v>190000</v>
      </c>
      <c r="G16" s="3">
        <v>210000</v>
      </c>
      <c r="H16" s="3">
        <v>232000</v>
      </c>
      <c r="I16" s="67"/>
      <c r="J16" s="20">
        <f>H16</f>
        <v>232000</v>
      </c>
      <c r="K16" s="3">
        <v>200000</v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" customHeight="1" outlineLevel="1">
      <c r="A17" s="67"/>
      <c r="B17" s="23" t="s">
        <v>15</v>
      </c>
      <c r="C17" s="67"/>
      <c r="D17" s="67"/>
      <c r="E17" s="3">
        <v>100000</v>
      </c>
      <c r="F17" s="3">
        <v>105000</v>
      </c>
      <c r="G17" s="3">
        <v>109000</v>
      </c>
      <c r="H17" s="3">
        <v>113000</v>
      </c>
      <c r="I17" s="67"/>
      <c r="J17" s="20">
        <f>H17</f>
        <v>113000</v>
      </c>
      <c r="K17" s="3">
        <v>105000</v>
      </c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" customHeight="1" outlineLevel="1">
      <c r="A18" s="67"/>
      <c r="B18" s="23" t="s">
        <v>16</v>
      </c>
      <c r="C18" s="67"/>
      <c r="D18" s="67"/>
      <c r="E18" s="3">
        <v>84000</v>
      </c>
      <c r="F18" s="3">
        <v>86000</v>
      </c>
      <c r="G18" s="3">
        <v>87000</v>
      </c>
      <c r="H18" s="3">
        <v>88000</v>
      </c>
      <c r="I18" s="67"/>
      <c r="J18" s="20">
        <f>H18</f>
        <v>88000</v>
      </c>
      <c r="K18" s="3">
        <v>90000</v>
      </c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" customHeight="1" outlineLevel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" customHeight="1" outlineLevel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</sheetData>
  <printOptions horizontalCentered="1"/>
  <pageMargins left="0" right="0" top="0" bottom="0" header="0" footer="0"/>
  <pageSetup scale="90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Z40"/>
  <sheetViews>
    <sheetView showGridLines="0" zoomScaleNormal="100" zoomScaleSheetLayoutView="85" workbookViewId="0">
      <selection activeCell="E11" sqref="E11"/>
    </sheetView>
  </sheetViews>
  <sheetFormatPr defaultColWidth="9.140625" defaultRowHeight="15" customHeight="1" outlineLevelRow="1"/>
  <cols>
    <col min="1" max="1" width="8.7109375" style="1" customWidth="1"/>
    <col min="2" max="2" width="26" style="1" customWidth="1"/>
    <col min="3" max="4" width="2.140625" style="1" customWidth="1"/>
    <col min="5" max="8" width="13.42578125" style="1" customWidth="1"/>
    <col min="9" max="9" width="2.42578125" style="1" customWidth="1"/>
    <col min="10" max="11" width="15.5703125" style="1" customWidth="1"/>
    <col min="12" max="12" width="9.140625" style="1" customWidth="1"/>
    <col min="13" max="16384" width="9.140625" style="1"/>
  </cols>
  <sheetData>
    <row r="1" spans="1:26" ht="50.1" customHeight="1">
      <c r="A1" s="67"/>
      <c r="B1" s="5"/>
      <c r="C1" s="5"/>
      <c r="D1" s="5"/>
      <c r="E1" s="5"/>
      <c r="F1" s="5"/>
      <c r="G1" s="5"/>
      <c r="H1" s="5"/>
      <c r="I1" s="5"/>
      <c r="J1" s="5"/>
      <c r="K1" s="5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s="4" customFormat="1" ht="15" customHeight="1">
      <c r="A3" s="67"/>
      <c r="B3" s="16" t="s">
        <v>18</v>
      </c>
      <c r="C3" s="7"/>
      <c r="D3" s="7"/>
      <c r="E3" s="7"/>
      <c r="F3" s="7"/>
      <c r="G3" s="7"/>
      <c r="H3" s="7"/>
      <c r="I3" s="7"/>
      <c r="J3" s="7"/>
      <c r="K3" s="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s="4" customFormat="1" ht="15" customHeight="1" outlineLevel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" customHeight="1" outlineLevel="1">
      <c r="A5" s="67"/>
      <c r="B5" s="8" t="s">
        <v>4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" customHeight="1" outlineLevel="1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" customHeight="1" outlineLevel="1" thickBot="1">
      <c r="A7" s="67"/>
      <c r="B7" s="67"/>
      <c r="C7" s="67"/>
      <c r="D7" s="67"/>
      <c r="E7" s="26">
        <v>46142</v>
      </c>
      <c r="F7" s="26">
        <f>EOMONTH(E7,1)</f>
        <v>46173</v>
      </c>
      <c r="G7" s="26">
        <f>EOMONTH(F7,1)</f>
        <v>46203</v>
      </c>
      <c r="H7" s="26">
        <f>EOMONTH(G7,1)</f>
        <v>46234</v>
      </c>
      <c r="I7" s="67"/>
      <c r="J7" s="18" t="s">
        <v>5</v>
      </c>
      <c r="K7" s="18" t="s">
        <v>6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" customHeight="1" outlineLevel="1">
      <c r="A8" s="67"/>
      <c r="B8" s="9" t="s">
        <v>7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" customHeight="1" outlineLevel="1">
      <c r="A9" s="67"/>
      <c r="B9" s="23" t="s">
        <v>8</v>
      </c>
      <c r="C9" s="67"/>
      <c r="D9" s="67"/>
      <c r="E9" s="3">
        <v>165000</v>
      </c>
      <c r="F9" s="3">
        <v>170000</v>
      </c>
      <c r="G9" s="3">
        <v>176000</v>
      </c>
      <c r="H9" s="3">
        <v>179000</v>
      </c>
      <c r="I9" s="67"/>
      <c r="J9" s="20">
        <f>SUM(E9:H9)</f>
        <v>690000</v>
      </c>
      <c r="K9" s="3">
        <v>760000</v>
      </c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" customHeight="1" outlineLevel="1">
      <c r="A10" s="67"/>
      <c r="B10" s="23" t="s">
        <v>9</v>
      </c>
      <c r="C10" s="67"/>
      <c r="D10" s="67"/>
      <c r="E10" s="3">
        <v>-119000</v>
      </c>
      <c r="F10" s="3">
        <v>-122000</v>
      </c>
      <c r="G10" s="3">
        <v>-126000</v>
      </c>
      <c r="H10" s="3">
        <v>-128000</v>
      </c>
      <c r="I10" s="67"/>
      <c r="J10" s="20">
        <f>SUM(E10:H10)</f>
        <v>-495000</v>
      </c>
      <c r="K10" s="3">
        <v>-500000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" customHeight="1" outlineLevel="1">
      <c r="A11" s="67"/>
      <c r="B11" s="24" t="s">
        <v>10</v>
      </c>
      <c r="C11" s="67"/>
      <c r="D11" s="67"/>
      <c r="E11" s="21">
        <f>SUM(E9:E10)</f>
        <v>46000</v>
      </c>
      <c r="F11" s="21">
        <f>SUM(F9:F10)</f>
        <v>48000</v>
      </c>
      <c r="G11" s="21">
        <f>SUM(G9:G10)</f>
        <v>50000</v>
      </c>
      <c r="H11" s="21">
        <f>SUM(H9:H10)</f>
        <v>51000</v>
      </c>
      <c r="I11" s="67"/>
      <c r="J11" s="21">
        <f>SUM(J9:J10)</f>
        <v>195000</v>
      </c>
      <c r="K11" s="11">
        <f>SUM(K9:K10)</f>
        <v>260000</v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" customHeight="1" outlineLevel="1">
      <c r="A12" s="67"/>
      <c r="B12" s="23" t="s">
        <v>11</v>
      </c>
      <c r="C12" s="67"/>
      <c r="D12" s="67"/>
      <c r="E12" s="3">
        <v>-49000</v>
      </c>
      <c r="F12" s="3">
        <v>-51000</v>
      </c>
      <c r="G12" s="3">
        <v>-52000</v>
      </c>
      <c r="H12" s="3">
        <v>-53000</v>
      </c>
      <c r="I12" s="67"/>
      <c r="J12" s="20">
        <f>SUM(E12:H12)</f>
        <v>-205000</v>
      </c>
      <c r="K12" s="3">
        <v>-185000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" customHeight="1" outlineLevel="1">
      <c r="A13" s="67"/>
      <c r="B13" s="24" t="s">
        <v>12</v>
      </c>
      <c r="C13" s="67"/>
      <c r="D13" s="67"/>
      <c r="E13" s="22">
        <f>SUM(E11:E12)</f>
        <v>-3000</v>
      </c>
      <c r="F13" s="22">
        <f>SUM(F11:F12)</f>
        <v>-3000</v>
      </c>
      <c r="G13" s="22">
        <f>SUM(G11:G12)</f>
        <v>-2000</v>
      </c>
      <c r="H13" s="22">
        <f>SUM(H11:H12)</f>
        <v>-2000</v>
      </c>
      <c r="I13" s="67"/>
      <c r="J13" s="22">
        <f>SUM(J11:J12)</f>
        <v>-10000</v>
      </c>
      <c r="K13" s="12">
        <f>SUM(K11:K12)</f>
        <v>75000</v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5" customHeight="1" outlineLevel="1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5" customHeight="1" outlineLevel="1">
      <c r="A15" s="67"/>
      <c r="B15" s="9" t="s">
        <v>13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5" customHeight="1" outlineLevel="1">
      <c r="A16" s="67"/>
      <c r="B16" s="23" t="s">
        <v>14</v>
      </c>
      <c r="C16" s="67"/>
      <c r="D16" s="67"/>
      <c r="E16" s="3">
        <v>66000</v>
      </c>
      <c r="F16" s="3">
        <v>64000</v>
      </c>
      <c r="G16" s="3">
        <v>63000</v>
      </c>
      <c r="H16" s="3">
        <v>61000</v>
      </c>
      <c r="I16" s="67"/>
      <c r="J16" s="20">
        <f>H16</f>
        <v>61000</v>
      </c>
      <c r="K16" s="3">
        <v>78000</v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5" customHeight="1" outlineLevel="1">
      <c r="A17" s="67"/>
      <c r="B17" s="23" t="s">
        <v>15</v>
      </c>
      <c r="C17" s="67"/>
      <c r="D17" s="67"/>
      <c r="E17" s="3">
        <v>40000</v>
      </c>
      <c r="F17" s="3">
        <v>39000</v>
      </c>
      <c r="G17" s="3">
        <v>37000</v>
      </c>
      <c r="H17" s="3">
        <v>35000</v>
      </c>
      <c r="I17" s="67"/>
      <c r="J17" s="20">
        <f>H17</f>
        <v>35000</v>
      </c>
      <c r="K17" s="3">
        <v>42000</v>
      </c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" customHeight="1" outlineLevel="1">
      <c r="A18" s="67"/>
      <c r="B18" s="23" t="s">
        <v>16</v>
      </c>
      <c r="C18" s="67"/>
      <c r="D18" s="67"/>
      <c r="E18" s="3">
        <v>33000</v>
      </c>
      <c r="F18" s="3">
        <v>36000</v>
      </c>
      <c r="G18" s="3">
        <v>38000</v>
      </c>
      <c r="H18" s="3">
        <v>41000</v>
      </c>
      <c r="I18" s="67"/>
      <c r="J18" s="20">
        <f>H18</f>
        <v>41000</v>
      </c>
      <c r="K18" s="3">
        <v>35000</v>
      </c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" customHeight="1" outlineLevel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" customHeight="1" outlineLevel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</sheetData>
  <printOptions horizontalCentered="1"/>
  <pageMargins left="0" right="0" top="0" bottom="0" header="0" footer="0"/>
  <pageSetup scale="90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showGridLines="0" tabSelected="1" zoomScale="115" zoomScaleNormal="115" workbookViewId="0">
      <selection activeCell="H5" sqref="H5"/>
    </sheetView>
  </sheetViews>
  <sheetFormatPr defaultColWidth="8.85546875" defaultRowHeight="14.25"/>
  <cols>
    <col min="1" max="1" width="2.140625" style="67" bestFit="1" customWidth="1"/>
    <col min="2" max="2" width="26" style="67" customWidth="1"/>
    <col min="3" max="4" width="2.140625" style="67" customWidth="1"/>
    <col min="5" max="8" width="13.42578125" style="67" customWidth="1"/>
    <col min="9" max="9" width="2.42578125" style="67" customWidth="1"/>
    <col min="10" max="11" width="15.5703125" style="67" customWidth="1"/>
    <col min="12" max="12" width="2.42578125" style="67" customWidth="1"/>
    <col min="13" max="13" width="15.5703125" style="67" customWidth="1"/>
    <col min="14" max="14" width="13.42578125" style="67" customWidth="1"/>
    <col min="15" max="15" width="15.5703125" style="67" customWidth="1"/>
    <col min="16" max="16" width="8.85546875" style="67" customWidth="1"/>
    <col min="17" max="16384" width="8.85546875" style="67"/>
  </cols>
  <sheetData>
    <row r="1" spans="2:15" ht="50.1" customHeight="1">
      <c r="B1" s="5"/>
      <c r="C1" s="5"/>
      <c r="D1" s="5"/>
      <c r="E1" s="35"/>
      <c r="F1" s="5"/>
      <c r="G1" s="5"/>
      <c r="H1" s="5"/>
      <c r="I1" s="5"/>
      <c r="J1" s="5"/>
      <c r="K1" s="5"/>
      <c r="L1" s="5"/>
      <c r="M1" s="5"/>
      <c r="N1" s="5"/>
      <c r="O1" s="5"/>
    </row>
    <row r="3" spans="2:15" ht="20.85" customHeight="1"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2:15">
      <c r="B5" s="8" t="s">
        <v>4</v>
      </c>
    </row>
    <row r="7" spans="2:15" ht="16.7" customHeight="1" thickBot="1">
      <c r="E7" s="26">
        <v>46142</v>
      </c>
      <c r="F7" s="26">
        <f>EOMONTH(E7,1)</f>
        <v>46173</v>
      </c>
      <c r="G7" s="26">
        <f>EOMONTH(F7,1)</f>
        <v>46203</v>
      </c>
      <c r="H7" s="26">
        <f>EOMONTH(G7,1)</f>
        <v>46234</v>
      </c>
      <c r="I7" s="2"/>
      <c r="J7" s="18" t="s">
        <v>5</v>
      </c>
      <c r="K7" s="18" t="s">
        <v>6</v>
      </c>
      <c r="L7" s="2"/>
      <c r="M7" s="18" t="s">
        <v>20</v>
      </c>
      <c r="N7" s="18" t="s">
        <v>21</v>
      </c>
      <c r="O7" s="19" t="s">
        <v>22</v>
      </c>
    </row>
    <row r="8" spans="2:15">
      <c r="B8" s="52" t="s">
        <v>7</v>
      </c>
      <c r="C8" s="53"/>
      <c r="D8" s="53"/>
      <c r="E8" s="54"/>
      <c r="F8" s="54"/>
      <c r="G8" s="54"/>
      <c r="H8" s="54"/>
      <c r="I8" s="55"/>
      <c r="J8" s="54"/>
      <c r="K8" s="54"/>
      <c r="L8" s="55"/>
      <c r="M8" s="54"/>
      <c r="N8" s="54"/>
      <c r="O8" s="54"/>
    </row>
    <row r="9" spans="2:15">
      <c r="B9" s="56" t="s">
        <v>8</v>
      </c>
      <c r="C9" s="53"/>
      <c r="D9" s="53"/>
      <c r="E9" s="57">
        <f>'Business A'!E9+'Business B'!E9+'Business C'!E9</f>
        <v>1020000</v>
      </c>
      <c r="F9" s="57">
        <f>'Business A'!F9+'Business B'!F9+'Business C'!F9</f>
        <v>1047000</v>
      </c>
      <c r="G9" s="57">
        <f>'Business A'!G9+'Business B'!G9+'Business C'!G9</f>
        <v>1086000</v>
      </c>
      <c r="H9" s="57">
        <f>'Business A'!H9+'Business B'!H9+'Business C'!H9</f>
        <v>1105000</v>
      </c>
      <c r="I9" s="55"/>
      <c r="J9" s="57">
        <f>'Business A'!J9+'Business B'!J9+'Business C'!J9</f>
        <v>4258000</v>
      </c>
      <c r="K9" s="57">
        <f>'Business A'!K9+'Business B'!K9+'Business C'!K9</f>
        <v>4110000</v>
      </c>
      <c r="L9" s="55"/>
      <c r="M9" s="57">
        <f>J9-K9</f>
        <v>148000</v>
      </c>
      <c r="N9" s="58">
        <f>M9/K9</f>
        <v>3.6009732360097323E-2</v>
      </c>
      <c r="O9" s="59" t="str">
        <f>IF(M9&gt;=0,"Favorable","Unfavorable")</f>
        <v>Favorable</v>
      </c>
    </row>
    <row r="10" spans="2:15">
      <c r="B10" s="56" t="s">
        <v>9</v>
      </c>
      <c r="C10" s="53"/>
      <c r="D10" s="53"/>
      <c r="E10" s="57">
        <f>'Business A'!E10+'Business B'!E10+'Business C'!E10</f>
        <v>-605000</v>
      </c>
      <c r="F10" s="57">
        <f>'Business A'!F10+'Business B'!F10+'Business C'!F10</f>
        <v>-619000</v>
      </c>
      <c r="G10" s="57">
        <f>'Business A'!G10+'Business B'!G10+'Business C'!G10</f>
        <v>-640000</v>
      </c>
      <c r="H10" s="57">
        <f>'Business A'!H10+'Business B'!H10+'Business C'!H10</f>
        <v>-649000</v>
      </c>
      <c r="I10" s="55"/>
      <c r="J10" s="57">
        <f>'Business A'!J10+'Business B'!J10+'Business C'!J10</f>
        <v>-2513000</v>
      </c>
      <c r="K10" s="57">
        <f>'Business A'!K10+'Business B'!K10+'Business C'!K10</f>
        <v>-2450000</v>
      </c>
      <c r="L10" s="55"/>
      <c r="M10" s="57">
        <f>J10-K10</f>
        <v>-63000</v>
      </c>
      <c r="N10" s="58">
        <f>M10/K10</f>
        <v>2.5714285714285714E-2</v>
      </c>
      <c r="O10" s="59" t="str">
        <f>IF(M10&gt;=0,"Favorable","Unfavorable")</f>
        <v>Unfavorable</v>
      </c>
    </row>
    <row r="11" spans="2:15">
      <c r="B11" s="60" t="s">
        <v>10</v>
      </c>
      <c r="C11" s="53"/>
      <c r="D11" s="53"/>
      <c r="E11" s="61">
        <f>SUM(E9:E10)</f>
        <v>415000</v>
      </c>
      <c r="F11" s="61">
        <f t="shared" ref="F11:H11" si="0">SUM(F9:F10)</f>
        <v>428000</v>
      </c>
      <c r="G11" s="61">
        <f t="shared" si="0"/>
        <v>446000</v>
      </c>
      <c r="H11" s="61">
        <f t="shared" si="0"/>
        <v>456000</v>
      </c>
      <c r="I11" s="55"/>
      <c r="J11" s="61">
        <f>SUM(J9:J10)</f>
        <v>1745000</v>
      </c>
      <c r="K11" s="61">
        <f>SUM(K9:K10)</f>
        <v>1660000</v>
      </c>
      <c r="L11" s="55"/>
      <c r="M11" s="61">
        <f>SUM(M9:M10)</f>
        <v>85000</v>
      </c>
      <c r="N11" s="62">
        <f>M11/K11</f>
        <v>5.1204819277108432E-2</v>
      </c>
      <c r="O11" s="63" t="str">
        <f>IF(M11&gt;0,"Favorable","Unfavorable")</f>
        <v>Favorable</v>
      </c>
    </row>
    <row r="12" spans="2:15">
      <c r="B12" s="56" t="s">
        <v>11</v>
      </c>
      <c r="C12" s="53"/>
      <c r="D12" s="53"/>
      <c r="E12" s="57">
        <f>'Business A'!E12+'Business B'!E12+'Business C'!E12</f>
        <v>-239000</v>
      </c>
      <c r="F12" s="57">
        <f>'Business A'!F12+'Business B'!F12+'Business C'!F12</f>
        <v>-245000</v>
      </c>
      <c r="G12" s="57">
        <f>'Business A'!G12+'Business B'!G12+'Business C'!G12</f>
        <v>-251000</v>
      </c>
      <c r="H12" s="57">
        <f>'Business A'!H12+'Business B'!H12+'Business C'!H12</f>
        <v>-253000</v>
      </c>
      <c r="I12" s="55"/>
      <c r="J12" s="57">
        <f>'Business A'!J12+'Business B'!J12+'Business C'!J12</f>
        <v>-988000</v>
      </c>
      <c r="K12" s="57">
        <f>'Business A'!K12+'Business B'!K12+'Business C'!K12</f>
        <v>-955000</v>
      </c>
      <c r="L12" s="55"/>
      <c r="M12" s="57">
        <f>J12-K12</f>
        <v>-33000</v>
      </c>
      <c r="N12" s="58">
        <f>M12/K12</f>
        <v>3.4554973821989528E-2</v>
      </c>
      <c r="O12" s="59" t="str">
        <f>IF(M12&gt;=0,"Favorable","Unfavorable")</f>
        <v>Unfavorable</v>
      </c>
    </row>
    <row r="13" spans="2:15">
      <c r="B13" s="60" t="s">
        <v>12</v>
      </c>
      <c r="C13" s="53"/>
      <c r="D13" s="53"/>
      <c r="E13" s="64">
        <f>SUM(E11:E12)</f>
        <v>176000</v>
      </c>
      <c r="F13" s="64">
        <f t="shared" ref="F13:H13" si="1">SUM(F11:F12)</f>
        <v>183000</v>
      </c>
      <c r="G13" s="64">
        <f t="shared" si="1"/>
        <v>195000</v>
      </c>
      <c r="H13" s="64">
        <f t="shared" si="1"/>
        <v>203000</v>
      </c>
      <c r="I13" s="55"/>
      <c r="J13" s="64">
        <f>SUM(J11:J12)</f>
        <v>757000</v>
      </c>
      <c r="K13" s="64">
        <f>SUM(K11:K12)</f>
        <v>705000</v>
      </c>
      <c r="L13" s="55"/>
      <c r="M13" s="64">
        <f>SUM(M11:M12)</f>
        <v>52000</v>
      </c>
      <c r="N13" s="65">
        <f>M13/K13</f>
        <v>7.3758865248226946E-2</v>
      </c>
      <c r="O13" s="66" t="str">
        <f>IF(M13&gt;0,"Favorable","Unfavorable")</f>
        <v>Favorable</v>
      </c>
    </row>
    <row r="14" spans="2:15">
      <c r="B14" s="53" t="s">
        <v>13</v>
      </c>
      <c r="C14" s="53"/>
      <c r="D14" s="53"/>
      <c r="E14" s="57"/>
      <c r="F14" s="57"/>
      <c r="G14" s="57"/>
      <c r="H14" s="57"/>
      <c r="I14" s="55"/>
      <c r="J14" s="57"/>
      <c r="K14" s="57"/>
      <c r="L14" s="55"/>
      <c r="M14" s="57"/>
      <c r="N14" s="58"/>
      <c r="O14" s="59"/>
    </row>
    <row r="15" spans="2:15">
      <c r="B15" s="52" t="s">
        <v>14</v>
      </c>
      <c r="C15" s="53"/>
      <c r="D15" s="53"/>
      <c r="E15" s="57">
        <f>'Business A'!E16+'Business B'!E16+'Business C'!E16</f>
        <v>346000</v>
      </c>
      <c r="F15" s="57">
        <f>'Business A'!F16+'Business B'!F16+'Business C'!F16</f>
        <v>384000</v>
      </c>
      <c r="G15" s="57">
        <f>'Business A'!G16+'Business B'!G16+'Business C'!G16</f>
        <v>433000</v>
      </c>
      <c r="H15" s="57">
        <f>'Business A'!H16+'Business B'!H16+'Business C'!H16</f>
        <v>489000</v>
      </c>
      <c r="I15" s="55"/>
      <c r="J15" s="57">
        <f>H15</f>
        <v>489000</v>
      </c>
      <c r="K15" s="57">
        <f>'Business A'!K16+'Business B'!K16+'Business C'!K16</f>
        <v>468000</v>
      </c>
      <c r="L15" s="55"/>
      <c r="M15" s="57">
        <f>J15-K15</f>
        <v>21000</v>
      </c>
      <c r="N15" s="58">
        <f>M15/K15</f>
        <v>4.4871794871794872E-2</v>
      </c>
      <c r="O15" s="59" t="str">
        <f>IF(M15&gt;0,"Favorable","Unfavorable")</f>
        <v>Favorable</v>
      </c>
    </row>
    <row r="16" spans="2:15">
      <c r="B16" s="56" t="s">
        <v>15</v>
      </c>
      <c r="C16" s="53"/>
      <c r="D16" s="53"/>
      <c r="E16" s="57">
        <f>'Business A'!E17+'Business B'!E17+'Business C'!E17</f>
        <v>207000</v>
      </c>
      <c r="F16" s="57">
        <f>'Business A'!F17+'Business B'!F17+'Business C'!F17</f>
        <v>216000</v>
      </c>
      <c r="G16" s="57">
        <f>'Business A'!G17+'Business B'!G17+'Business C'!G17</f>
        <v>223000</v>
      </c>
      <c r="H16" s="57">
        <f>'Business A'!H17+'Business B'!H17+'Business C'!H17</f>
        <v>229000</v>
      </c>
      <c r="I16" s="55"/>
      <c r="J16" s="57">
        <f t="shared" ref="J16:J17" si="2">H16</f>
        <v>229000</v>
      </c>
      <c r="K16" s="57">
        <f>'Business A'!K17+'Business B'!K17+'Business C'!K17</f>
        <v>227000</v>
      </c>
      <c r="L16" s="55"/>
      <c r="M16" s="57">
        <f>J16-K16</f>
        <v>2000</v>
      </c>
      <c r="N16" s="58">
        <f>M16/K16</f>
        <v>8.8105726872246704E-3</v>
      </c>
      <c r="O16" s="59" t="str">
        <f>IF(M16&lt;=0,"Favorable","Unfavorable")</f>
        <v>Unfavorable</v>
      </c>
    </row>
    <row r="17" spans="1:15">
      <c r="B17" s="56" t="s">
        <v>16</v>
      </c>
      <c r="C17" s="53"/>
      <c r="D17" s="53"/>
      <c r="E17" s="57">
        <f>'Business A'!E18+'Business B'!E18+'Business C'!E18</f>
        <v>172000</v>
      </c>
      <c r="F17" s="57">
        <f>'Business A'!F18+'Business B'!F18+'Business C'!F18</f>
        <v>180000</v>
      </c>
      <c r="G17" s="57">
        <f>'Business A'!G18+'Business B'!G18+'Business C'!G18</f>
        <v>185000</v>
      </c>
      <c r="H17" s="57">
        <f>'Business A'!H18+'Business B'!H18+'Business C'!H18</f>
        <v>186000</v>
      </c>
      <c r="I17" s="55"/>
      <c r="J17" s="57">
        <f t="shared" si="2"/>
        <v>186000</v>
      </c>
      <c r="K17" s="57">
        <f>'Business A'!K18+'Business B'!K18+'Business C'!K18</f>
        <v>183000</v>
      </c>
      <c r="L17" s="55"/>
      <c r="M17" s="57">
        <f>J17-K17</f>
        <v>3000</v>
      </c>
      <c r="N17" s="58">
        <f>M17/K17</f>
        <v>1.6393442622950821E-2</v>
      </c>
      <c r="O17" s="59" t="str">
        <f>IF(M17&gt;=0,"Favorable","Unfavorable")</f>
        <v>Favorable</v>
      </c>
    </row>
    <row r="18" spans="1:15">
      <c r="B18" s="23"/>
      <c r="E18" s="10"/>
      <c r="F18" s="10"/>
      <c r="G18" s="10"/>
      <c r="H18" s="10"/>
      <c r="I18" s="17"/>
      <c r="J18" s="10"/>
      <c r="K18" s="10"/>
      <c r="L18" s="2"/>
      <c r="M18" s="10"/>
      <c r="N18" s="14"/>
      <c r="O18" s="15"/>
    </row>
    <row r="19" spans="1:15">
      <c r="B19" s="23"/>
      <c r="E19" s="13"/>
      <c r="F19" s="13"/>
      <c r="G19" s="13"/>
      <c r="H19" s="13"/>
      <c r="I19" s="2"/>
      <c r="J19" s="10"/>
      <c r="K19" s="13"/>
      <c r="L19" s="2"/>
      <c r="M19" s="10"/>
    </row>
    <row r="20" spans="1:15" ht="18" customHeight="1">
      <c r="B20" s="82" t="s">
        <v>23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/>
    </row>
    <row r="21" spans="1:15" ht="16.5">
      <c r="A21" s="79" t="s">
        <v>49</v>
      </c>
      <c r="B21" s="101" t="s">
        <v>54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3"/>
      <c r="O21" s="76"/>
    </row>
    <row r="22" spans="1:15" ht="16.5">
      <c r="A22" s="79" t="s">
        <v>49</v>
      </c>
      <c r="B22" s="101" t="s">
        <v>55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3"/>
      <c r="O22" s="76"/>
    </row>
    <row r="23" spans="1:15" ht="16.5">
      <c r="A23" s="79" t="s">
        <v>49</v>
      </c>
      <c r="B23" s="101" t="s">
        <v>56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3"/>
      <c r="O23" s="76"/>
    </row>
    <row r="24" spans="1:15" ht="16.5">
      <c r="A24" s="79" t="s">
        <v>49</v>
      </c>
      <c r="B24" s="101" t="s">
        <v>57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3"/>
      <c r="O24" s="76"/>
    </row>
    <row r="25" spans="1:15" ht="16.5">
      <c r="A25" s="79" t="s">
        <v>49</v>
      </c>
      <c r="B25" s="101" t="s">
        <v>58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3"/>
      <c r="O25" s="76"/>
    </row>
    <row r="26" spans="1:15" ht="27" customHeight="1">
      <c r="A26" s="79" t="s">
        <v>49</v>
      </c>
      <c r="B26" s="104" t="s">
        <v>59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6"/>
      <c r="N26" s="77"/>
      <c r="O26" s="78"/>
    </row>
  </sheetData>
  <mergeCells count="7">
    <mergeCell ref="B25:M25"/>
    <mergeCell ref="B26:M26"/>
    <mergeCell ref="B20:O20"/>
    <mergeCell ref="B21:M21"/>
    <mergeCell ref="B22:M22"/>
    <mergeCell ref="B23:M23"/>
    <mergeCell ref="B24:M24"/>
  </mergeCells>
  <conditionalFormatting sqref="O9:O17">
    <cfRule type="expression" dxfId="2" priority="1">
      <formula>$O9="Unfavorable"</formula>
    </cfRule>
  </conditionalFormatting>
  <pageMargins left="0.70866141732283472" right="0.70866141732283472" top="0.74803149606299213" bottom="0.74803149606299213" header="0.31496062992125978" footer="0.31496062992125978"/>
  <pageSetup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1"/>
  <sheetViews>
    <sheetView showGridLines="0" topLeftCell="A79" zoomScaleNormal="100" workbookViewId="0">
      <selection activeCell="D77" sqref="D77"/>
    </sheetView>
  </sheetViews>
  <sheetFormatPr defaultRowHeight="15"/>
  <cols>
    <col min="1" max="1" width="2" bestFit="1" customWidth="1"/>
    <col min="2" max="2" width="17.42578125" customWidth="1"/>
    <col min="3" max="7" width="15.5703125" customWidth="1"/>
    <col min="8" max="20" width="11.28515625" customWidth="1"/>
  </cols>
  <sheetData>
    <row r="1" spans="2:9" ht="50.1" customHeight="1">
      <c r="B1" s="35"/>
      <c r="C1" s="36"/>
      <c r="D1" s="36"/>
      <c r="E1" s="36"/>
      <c r="F1" s="36"/>
      <c r="G1" s="36"/>
      <c r="H1" s="36"/>
      <c r="I1" s="36"/>
    </row>
    <row r="3" spans="2:9" ht="20.85" customHeight="1">
      <c r="B3" s="6" t="s">
        <v>24</v>
      </c>
      <c r="C3" s="7"/>
      <c r="D3" s="7"/>
      <c r="E3" s="7"/>
      <c r="F3" s="7"/>
      <c r="G3" s="7"/>
      <c r="H3" s="7"/>
      <c r="I3" s="7"/>
    </row>
    <row r="4" spans="2:9" ht="16.149999999999999" customHeight="1">
      <c r="B4" s="67"/>
      <c r="C4" s="67"/>
      <c r="D4" s="67"/>
      <c r="E4" s="67"/>
      <c r="F4" s="67"/>
      <c r="G4" s="67"/>
    </row>
    <row r="5" spans="2:9" ht="16.149999999999999" customHeight="1">
      <c r="B5" s="27" t="s">
        <v>25</v>
      </c>
      <c r="C5" s="67"/>
      <c r="D5" s="67"/>
      <c r="E5" s="67"/>
      <c r="F5" s="67"/>
      <c r="G5" s="67"/>
    </row>
    <row r="6" spans="2:9" ht="16.149999999999999" customHeight="1">
      <c r="B6" s="67"/>
      <c r="C6" s="67"/>
      <c r="D6" s="67"/>
      <c r="E6" s="67"/>
      <c r="F6" s="67"/>
      <c r="G6" s="67"/>
    </row>
    <row r="7" spans="2:9" ht="16.149999999999999" customHeight="1">
      <c r="B7" s="37" t="s">
        <v>0</v>
      </c>
      <c r="C7" s="2"/>
      <c r="D7" s="2"/>
      <c r="E7" s="2"/>
      <c r="F7" s="2"/>
      <c r="G7" s="2"/>
    </row>
    <row r="8" spans="2:9" ht="15" customHeight="1">
      <c r="B8" s="50" t="s">
        <v>26</v>
      </c>
      <c r="C8" s="40" t="s">
        <v>8</v>
      </c>
      <c r="D8" s="40" t="s">
        <v>27</v>
      </c>
      <c r="E8" s="40" t="s">
        <v>10</v>
      </c>
      <c r="F8" s="40" t="s">
        <v>28</v>
      </c>
      <c r="G8" s="40" t="s">
        <v>12</v>
      </c>
    </row>
    <row r="9" spans="2:9" ht="15" customHeight="1">
      <c r="B9" s="32">
        <v>46142</v>
      </c>
      <c r="C9" s="10">
        <f t="array" ref="C9:C12">TRANSPOSE('Business A'!E9:H9)</f>
        <v>315000</v>
      </c>
      <c r="D9" s="10">
        <f t="array" ref="D9:D12">TRANSPOSE('Business A'!E10:H10)</f>
        <v>-188000</v>
      </c>
      <c r="E9" s="10">
        <f t="shared" ref="E9:E12" si="0">SUM(C9:D9)</f>
        <v>127000</v>
      </c>
      <c r="F9" s="10">
        <f t="array" ref="F9:F12">TRANSPOSE('Business A'!E12:H12)</f>
        <v>-77000</v>
      </c>
      <c r="G9" s="10">
        <f t="shared" ref="G9:G12" si="1">SUM(E9:F9)</f>
        <v>50000</v>
      </c>
    </row>
    <row r="10" spans="2:9" ht="15" customHeight="1">
      <c r="B10" s="32">
        <f t="shared" ref="B10:B20" si="2">EDATE(B9,1)</f>
        <v>46172</v>
      </c>
      <c r="C10" s="10">
        <v>322000</v>
      </c>
      <c r="D10" s="10">
        <v>-192000</v>
      </c>
      <c r="E10" s="10">
        <f t="shared" si="0"/>
        <v>130000</v>
      </c>
      <c r="F10" s="10">
        <v>-79000</v>
      </c>
      <c r="G10" s="10">
        <f t="shared" si="1"/>
        <v>51000</v>
      </c>
    </row>
    <row r="11" spans="2:9" ht="15" customHeight="1">
      <c r="B11" s="32">
        <f t="shared" si="2"/>
        <v>46203</v>
      </c>
      <c r="C11" s="10">
        <v>335000</v>
      </c>
      <c r="D11" s="10">
        <v>-199000</v>
      </c>
      <c r="E11" s="10">
        <f t="shared" si="0"/>
        <v>136000</v>
      </c>
      <c r="F11" s="10">
        <v>-81000</v>
      </c>
      <c r="G11" s="10">
        <f t="shared" si="1"/>
        <v>55000</v>
      </c>
    </row>
    <row r="12" spans="2:9" ht="15" customHeight="1">
      <c r="B12" s="32">
        <f t="shared" si="2"/>
        <v>46233</v>
      </c>
      <c r="C12" s="10">
        <v>341000</v>
      </c>
      <c r="D12" s="10">
        <v>-199000</v>
      </c>
      <c r="E12" s="10">
        <f t="shared" si="0"/>
        <v>142000</v>
      </c>
      <c r="F12" s="10">
        <v>-81000</v>
      </c>
      <c r="G12" s="10">
        <f t="shared" si="1"/>
        <v>61000</v>
      </c>
    </row>
    <row r="13" spans="2:9" ht="15" customHeight="1">
      <c r="B13" s="38">
        <f t="shared" si="2"/>
        <v>46264</v>
      </c>
      <c r="C13" s="39">
        <f>_xlfn.FORECAST.ETS($B13,C$9:C$12,$B$9:$B$12,0)</f>
        <v>351137.10287360713</v>
      </c>
      <c r="D13" s="39">
        <f>_xlfn.FORECAST.ETS($B13,D$9:D$12,$B$9:$B$12,0)</f>
        <v>-203806.89960367855</v>
      </c>
      <c r="E13" s="39">
        <f>SUM(C13:D13)</f>
        <v>147330.20326992858</v>
      </c>
      <c r="F13" s="39">
        <f>_xlfn.FORECAST.ETS($B13,F$9:F$12,$B$9:$B$12,0)</f>
        <v>-82745.12608992857</v>
      </c>
      <c r="G13" s="39">
        <f>SUM(E13:F13)</f>
        <v>64585.077180000008</v>
      </c>
    </row>
    <row r="14" spans="2:9" ht="15" customHeight="1">
      <c r="B14" s="33">
        <f t="shared" si="2"/>
        <v>46295</v>
      </c>
      <c r="C14" s="31">
        <f t="shared" ref="C14:D20" si="3">_xlfn.FORECAST.ETS($B14,C$9:C$12,$B$9:$B$12,0)</f>
        <v>360171.61131957138</v>
      </c>
      <c r="D14" s="31">
        <f t="shared" si="3"/>
        <v>-207702.0543037857</v>
      </c>
      <c r="E14" s="31">
        <f t="shared" ref="E14:E20" si="4">SUM(C14:D14)</f>
        <v>152469.55701578569</v>
      </c>
      <c r="F14" s="31">
        <f t="shared" ref="F14:F20" si="5">_xlfn.FORECAST.ETS($B14,F$9:F$12,$B$9:$B$12,0)</f>
        <v>-84103.520519142854</v>
      </c>
      <c r="G14" s="31">
        <f t="shared" ref="G14:G20" si="6">SUM(E14:F14)</f>
        <v>68366.036496642831</v>
      </c>
    </row>
    <row r="15" spans="2:9" ht="15" customHeight="1">
      <c r="B15" s="33">
        <f t="shared" si="2"/>
        <v>46325</v>
      </c>
      <c r="C15" s="31">
        <f t="shared" si="3"/>
        <v>369206.1197655357</v>
      </c>
      <c r="D15" s="31">
        <f t="shared" si="3"/>
        <v>-211597.20900389284</v>
      </c>
      <c r="E15" s="31">
        <f t="shared" si="4"/>
        <v>157608.91076164285</v>
      </c>
      <c r="F15" s="31">
        <f t="shared" si="5"/>
        <v>-85461.914948357138</v>
      </c>
      <c r="G15" s="31">
        <f t="shared" si="6"/>
        <v>72146.995813285714</v>
      </c>
    </row>
    <row r="16" spans="2:9" ht="15" customHeight="1">
      <c r="B16" s="33">
        <f t="shared" si="2"/>
        <v>46356</v>
      </c>
      <c r="C16" s="31">
        <f t="shared" si="3"/>
        <v>378240.62821149995</v>
      </c>
      <c r="D16" s="31">
        <f t="shared" si="3"/>
        <v>-215492.36370399999</v>
      </c>
      <c r="E16" s="31">
        <f t="shared" si="4"/>
        <v>162748.26450749996</v>
      </c>
      <c r="F16" s="31">
        <f t="shared" si="5"/>
        <v>-86820.309377571422</v>
      </c>
      <c r="G16" s="31">
        <f t="shared" si="6"/>
        <v>75927.955129928538</v>
      </c>
    </row>
    <row r="17" spans="2:7" ht="15" customHeight="1">
      <c r="B17" s="33">
        <f t="shared" si="2"/>
        <v>46386</v>
      </c>
      <c r="C17" s="31">
        <f t="shared" si="3"/>
        <v>387275.13665746426</v>
      </c>
      <c r="D17" s="31">
        <f t="shared" si="3"/>
        <v>-219387.51840410713</v>
      </c>
      <c r="E17" s="31">
        <f t="shared" si="4"/>
        <v>167887.61825335713</v>
      </c>
      <c r="F17" s="31">
        <f t="shared" si="5"/>
        <v>-88178.703806785721</v>
      </c>
      <c r="G17" s="31">
        <f t="shared" si="6"/>
        <v>79708.914446571405</v>
      </c>
    </row>
    <row r="18" spans="2:7" ht="15" customHeight="1">
      <c r="B18" s="33">
        <f t="shared" si="2"/>
        <v>46417</v>
      </c>
      <c r="C18" s="31">
        <f t="shared" si="3"/>
        <v>396309.64510342851</v>
      </c>
      <c r="D18" s="31">
        <f t="shared" si="3"/>
        <v>-223282.67310421425</v>
      </c>
      <c r="E18" s="31">
        <f t="shared" si="4"/>
        <v>173026.97199921426</v>
      </c>
      <c r="F18" s="31">
        <f t="shared" si="5"/>
        <v>-89537.098236000005</v>
      </c>
      <c r="G18" s="31">
        <f t="shared" si="6"/>
        <v>83489.873763214258</v>
      </c>
    </row>
    <row r="19" spans="2:7" ht="15" customHeight="1">
      <c r="B19" s="33">
        <f t="shared" si="2"/>
        <v>46446</v>
      </c>
      <c r="C19" s="31">
        <f t="shared" si="3"/>
        <v>404761.28203675</v>
      </c>
      <c r="D19" s="31">
        <f t="shared" si="3"/>
        <v>-226926.52750108871</v>
      </c>
      <c r="E19" s="31">
        <f t="shared" si="4"/>
        <v>177834.75453566128</v>
      </c>
      <c r="F19" s="31">
        <f t="shared" si="5"/>
        <v>-90807.854314942393</v>
      </c>
      <c r="G19" s="31">
        <f t="shared" si="6"/>
        <v>87026.90022071889</v>
      </c>
    </row>
    <row r="20" spans="2:7" ht="15" customHeight="1">
      <c r="B20" s="33">
        <f t="shared" si="2"/>
        <v>46474</v>
      </c>
      <c r="C20" s="31">
        <f t="shared" si="3"/>
        <v>413733.33996350254</v>
      </c>
      <c r="D20" s="31">
        <f t="shared" si="3"/>
        <v>-230794.75716870659</v>
      </c>
      <c r="E20" s="31">
        <f t="shared" si="4"/>
        <v>182938.58279479595</v>
      </c>
      <c r="F20" s="31">
        <f t="shared" si="5"/>
        <v>-92156.858920913262</v>
      </c>
      <c r="G20" s="31">
        <f t="shared" si="6"/>
        <v>90781.723873882685</v>
      </c>
    </row>
    <row r="21" spans="2:7" ht="15" customHeight="1">
      <c r="B21" s="41" t="s">
        <v>29</v>
      </c>
      <c r="C21" s="42">
        <f>SUM(C9:C20)</f>
        <v>4373834.8659313601</v>
      </c>
      <c r="D21" s="42">
        <f>SUM(D9:D20)</f>
        <v>-2516990.0027934737</v>
      </c>
      <c r="E21" s="42">
        <f>C21+D21</f>
        <v>1856844.8631378864</v>
      </c>
      <c r="F21" s="42">
        <f>SUM(F9:F20)</f>
        <v>-1017811.3862136415</v>
      </c>
      <c r="G21" s="42">
        <f>E21+F21</f>
        <v>839033.4769242449</v>
      </c>
    </row>
    <row r="22" spans="2:7" ht="15" customHeight="1">
      <c r="B22" s="28"/>
      <c r="C22" s="30"/>
      <c r="D22" s="30"/>
      <c r="E22" s="30"/>
      <c r="F22" s="30"/>
      <c r="G22" s="30"/>
    </row>
    <row r="23" spans="2:7" ht="15" customHeight="1">
      <c r="B23" s="28" t="s">
        <v>30</v>
      </c>
      <c r="C23" s="30">
        <f>'Business A'!K9*3</f>
        <v>3900000</v>
      </c>
      <c r="D23" s="30">
        <f>'Business A'!K10*3</f>
        <v>-2310000</v>
      </c>
      <c r="E23" s="30">
        <f>C23+D23</f>
        <v>1590000</v>
      </c>
      <c r="F23" s="30">
        <f>'Business A'!K12*3</f>
        <v>-960000</v>
      </c>
      <c r="G23" s="30">
        <f>E23+F23</f>
        <v>630000</v>
      </c>
    </row>
    <row r="24" spans="2:7" ht="15" customHeight="1">
      <c r="B24" s="2"/>
      <c r="C24" s="10"/>
      <c r="D24" s="10"/>
      <c r="E24" s="10"/>
      <c r="F24" s="10"/>
      <c r="G24" s="10"/>
    </row>
    <row r="25" spans="2:7" ht="15" customHeight="1">
      <c r="B25" s="43" t="s">
        <v>20</v>
      </c>
      <c r="C25" s="44">
        <f>C21-C23</f>
        <v>473834.86593136005</v>
      </c>
      <c r="D25" s="44">
        <f>D21-D23</f>
        <v>-206990.00279347366</v>
      </c>
      <c r="E25" s="44">
        <f>E21-E23</f>
        <v>266844.86313788639</v>
      </c>
      <c r="F25" s="44">
        <f>F21-F23</f>
        <v>-57811.386213641497</v>
      </c>
      <c r="G25" s="44">
        <f>G21-G23</f>
        <v>209033.4769242449</v>
      </c>
    </row>
    <row r="26" spans="2:7" ht="15" customHeight="1">
      <c r="B26" s="2"/>
      <c r="C26" s="2"/>
      <c r="D26" s="2"/>
      <c r="E26" s="2"/>
      <c r="F26" s="2"/>
      <c r="G26" s="2"/>
    </row>
    <row r="27" spans="2:7" ht="16.149999999999999" customHeight="1">
      <c r="B27" s="25" t="s">
        <v>1</v>
      </c>
      <c r="C27" s="17"/>
      <c r="D27" s="17"/>
      <c r="E27" s="17"/>
      <c r="F27" s="17"/>
      <c r="G27" s="17"/>
    </row>
    <row r="28" spans="2:7" ht="15" customHeight="1">
      <c r="B28" s="40" t="s">
        <v>26</v>
      </c>
      <c r="C28" s="40" t="s">
        <v>8</v>
      </c>
      <c r="D28" s="40" t="s">
        <v>27</v>
      </c>
      <c r="E28" s="40" t="s">
        <v>10</v>
      </c>
      <c r="F28" s="40" t="s">
        <v>28</v>
      </c>
      <c r="G28" s="40" t="s">
        <v>12</v>
      </c>
    </row>
    <row r="29" spans="2:7" ht="15" customHeight="1">
      <c r="B29" s="32">
        <f t="shared" ref="B29:B40" si="7">B9</f>
        <v>46142</v>
      </c>
      <c r="C29" s="10">
        <f t="array" ref="C29:C32">TRANSPOSE('Business B'!E9:H9)</f>
        <v>540000</v>
      </c>
      <c r="D29" s="10">
        <f t="array" ref="D29:D32">TRANSPOSE('Business B'!E10:H10)</f>
        <v>-298000</v>
      </c>
      <c r="E29" s="10">
        <f t="shared" ref="E29:E32" si="8">SUM(C29:D29)</f>
        <v>242000</v>
      </c>
      <c r="F29" s="10">
        <f t="array" ref="F29:F32">TRANSPOSE('Business B'!E12:H12)</f>
        <v>-113000</v>
      </c>
      <c r="G29" s="10">
        <f t="shared" ref="G29:G32" si="9">SUM(E29:F29)</f>
        <v>129000</v>
      </c>
    </row>
    <row r="30" spans="2:7" ht="15" customHeight="1">
      <c r="B30" s="32">
        <f t="shared" si="7"/>
        <v>46172</v>
      </c>
      <c r="C30" s="10">
        <v>555000</v>
      </c>
      <c r="D30" s="10">
        <v>-305000</v>
      </c>
      <c r="E30" s="10">
        <f t="shared" si="8"/>
        <v>250000</v>
      </c>
      <c r="F30" s="10">
        <v>-115000</v>
      </c>
      <c r="G30" s="10">
        <f t="shared" si="9"/>
        <v>135000</v>
      </c>
    </row>
    <row r="31" spans="2:7" ht="15" customHeight="1">
      <c r="B31" s="32">
        <f t="shared" si="7"/>
        <v>46203</v>
      </c>
      <c r="C31" s="10">
        <v>575000</v>
      </c>
      <c r="D31" s="10">
        <v>-315000</v>
      </c>
      <c r="E31" s="10">
        <f t="shared" si="8"/>
        <v>260000</v>
      </c>
      <c r="F31" s="10">
        <v>-118000</v>
      </c>
      <c r="G31" s="10">
        <f t="shared" si="9"/>
        <v>142000</v>
      </c>
    </row>
    <row r="32" spans="2:7" ht="15" customHeight="1">
      <c r="B32" s="32">
        <f t="shared" si="7"/>
        <v>46233</v>
      </c>
      <c r="C32" s="10">
        <v>585000</v>
      </c>
      <c r="D32" s="10">
        <v>-322000</v>
      </c>
      <c r="E32" s="10">
        <f t="shared" si="8"/>
        <v>263000</v>
      </c>
      <c r="F32" s="10">
        <v>-119000</v>
      </c>
      <c r="G32" s="10">
        <f t="shared" si="9"/>
        <v>144000</v>
      </c>
    </row>
    <row r="33" spans="2:7" ht="15" customHeight="1">
      <c r="B33" s="38">
        <f t="shared" si="7"/>
        <v>46264</v>
      </c>
      <c r="C33" s="39">
        <f>_xlfn.FORECAST.ETS($B33,C$29:C$32,$B$29:$B$32,0)</f>
        <v>601440.68427607149</v>
      </c>
      <c r="D33" s="39">
        <f>_xlfn.FORECAST.ETS($B33,D$29:D$32,$B$29:$B$32,0)</f>
        <v>-330709.37961103575</v>
      </c>
      <c r="E33" s="39">
        <f>SUM(C33:D33)</f>
        <v>270731.30466503574</v>
      </c>
      <c r="F33" s="39">
        <f>_xlfn.FORECAST.ETS($B33,F$29:F$32,$B$29:$B$32,0)</f>
        <v>-121288.13685521428</v>
      </c>
      <c r="G33" s="45">
        <f>SUM(E33:F33)</f>
        <v>149443.16780982146</v>
      </c>
    </row>
    <row r="34" spans="2:7" ht="15" customHeight="1">
      <c r="B34" s="33">
        <f t="shared" si="7"/>
        <v>46295</v>
      </c>
      <c r="C34" s="31">
        <f t="shared" ref="C34:D40" si="10">_xlfn.FORECAST.ETS($B34,C$29:C$32,$B$29:$B$32,0)</f>
        <v>616800.67391571437</v>
      </c>
      <c r="D34" s="31">
        <f t="shared" si="10"/>
        <v>-338886.88592185715</v>
      </c>
      <c r="E34" s="31">
        <f t="shared" ref="E34:E40" si="11">SUM(C34:D34)</f>
        <v>277913.78799385723</v>
      </c>
      <c r="F34" s="31">
        <f t="shared" ref="F34:F40" si="12">_xlfn.FORECAST.ETS($B34,F$29:F$32,$B$29:$B$32,0)</f>
        <v>-123360.13478314284</v>
      </c>
      <c r="G34" s="34">
        <f t="shared" ref="G34:G40" si="13">SUM(E34:F34)</f>
        <v>154553.6532107144</v>
      </c>
    </row>
    <row r="35" spans="2:7" ht="15" customHeight="1">
      <c r="B35" s="33">
        <f t="shared" si="7"/>
        <v>46325</v>
      </c>
      <c r="C35" s="31">
        <f t="shared" si="10"/>
        <v>632160.66355535714</v>
      </c>
      <c r="D35" s="31">
        <f t="shared" si="10"/>
        <v>-347064.3922326786</v>
      </c>
      <c r="E35" s="31">
        <f t="shared" si="11"/>
        <v>285096.27132267854</v>
      </c>
      <c r="F35" s="31">
        <f t="shared" si="12"/>
        <v>-125432.13271107142</v>
      </c>
      <c r="G35" s="34">
        <f t="shared" si="13"/>
        <v>159664.13861160714</v>
      </c>
    </row>
    <row r="36" spans="2:7" ht="15" customHeight="1">
      <c r="B36" s="33">
        <f t="shared" si="7"/>
        <v>46356</v>
      </c>
      <c r="C36" s="31">
        <f t="shared" si="10"/>
        <v>647520.65319500002</v>
      </c>
      <c r="D36" s="31">
        <f t="shared" si="10"/>
        <v>-355241.89854349999</v>
      </c>
      <c r="E36" s="31">
        <f t="shared" si="11"/>
        <v>292278.75465150003</v>
      </c>
      <c r="F36" s="31">
        <f t="shared" si="12"/>
        <v>-127504.130639</v>
      </c>
      <c r="G36" s="34">
        <f t="shared" si="13"/>
        <v>164774.62401250005</v>
      </c>
    </row>
    <row r="37" spans="2:7" ht="15" customHeight="1">
      <c r="B37" s="33">
        <f t="shared" si="7"/>
        <v>46386</v>
      </c>
      <c r="C37" s="31">
        <f t="shared" si="10"/>
        <v>662880.6428346429</v>
      </c>
      <c r="D37" s="31">
        <f t="shared" si="10"/>
        <v>-363419.40485432144</v>
      </c>
      <c r="E37" s="31">
        <f t="shared" si="11"/>
        <v>299461.23798032146</v>
      </c>
      <c r="F37" s="31">
        <f t="shared" si="12"/>
        <v>-129576.12856692856</v>
      </c>
      <c r="G37" s="34">
        <f t="shared" si="13"/>
        <v>169885.1094133929</v>
      </c>
    </row>
    <row r="38" spans="2:7" ht="15" customHeight="1">
      <c r="B38" s="33">
        <f t="shared" si="7"/>
        <v>46417</v>
      </c>
      <c r="C38" s="31">
        <f t="shared" si="10"/>
        <v>678240.63247428578</v>
      </c>
      <c r="D38" s="31">
        <f t="shared" si="10"/>
        <v>-371596.9111651429</v>
      </c>
      <c r="E38" s="31">
        <f t="shared" si="11"/>
        <v>306643.72130914289</v>
      </c>
      <c r="F38" s="31">
        <f t="shared" si="12"/>
        <v>-131648.12649485713</v>
      </c>
      <c r="G38" s="34">
        <f t="shared" si="13"/>
        <v>174995.59481428575</v>
      </c>
    </row>
    <row r="39" spans="2:7" ht="15" customHeight="1">
      <c r="B39" s="33">
        <f t="shared" si="7"/>
        <v>46446</v>
      </c>
      <c r="C39" s="31">
        <f t="shared" si="10"/>
        <v>692609.65504040336</v>
      </c>
      <c r="D39" s="31">
        <f t="shared" si="10"/>
        <v>-379246.83642365324</v>
      </c>
      <c r="E39" s="31">
        <f t="shared" si="11"/>
        <v>313362.81861675013</v>
      </c>
      <c r="F39" s="31">
        <f t="shared" si="12"/>
        <v>-133586.4471371129</v>
      </c>
      <c r="G39" s="34">
        <f t="shared" si="13"/>
        <v>179776.37147963722</v>
      </c>
    </row>
    <row r="40" spans="2:7" ht="15" customHeight="1">
      <c r="B40" s="33">
        <f t="shared" si="7"/>
        <v>46474</v>
      </c>
      <c r="C40" s="31">
        <f t="shared" si="10"/>
        <v>707863.46963645413</v>
      </c>
      <c r="D40" s="31">
        <f t="shared" si="10"/>
        <v>-387367.81619315565</v>
      </c>
      <c r="E40" s="31">
        <f t="shared" si="11"/>
        <v>320495.65344329848</v>
      </c>
      <c r="F40" s="31">
        <f t="shared" si="12"/>
        <v>-135644.1224987194</v>
      </c>
      <c r="G40" s="34">
        <f t="shared" si="13"/>
        <v>184851.53094457908</v>
      </c>
    </row>
    <row r="41" spans="2:7" ht="15" customHeight="1">
      <c r="B41" s="41" t="s">
        <v>29</v>
      </c>
      <c r="C41" s="42">
        <f>SUM(C29:C40)</f>
        <v>7494517.0749279289</v>
      </c>
      <c r="D41" s="42">
        <f>SUM(D29:D40)</f>
        <v>-4113533.5249453443</v>
      </c>
      <c r="E41" s="42">
        <f>C41+D41</f>
        <v>3380983.5499825845</v>
      </c>
      <c r="F41" s="42">
        <f>SUM(F29:F40)</f>
        <v>-1493039.3596860466</v>
      </c>
      <c r="G41" s="47">
        <f>E41+F41</f>
        <v>1887944.1902965379</v>
      </c>
    </row>
    <row r="42" spans="2:7" ht="15" customHeight="1">
      <c r="B42" s="28"/>
      <c r="C42" s="30"/>
      <c r="D42" s="30"/>
      <c r="E42" s="30"/>
      <c r="F42" s="30"/>
      <c r="G42" s="46"/>
    </row>
    <row r="43" spans="2:7" ht="15" customHeight="1">
      <c r="B43" s="28" t="s">
        <v>30</v>
      </c>
      <c r="C43" s="30">
        <f>'Business B'!K9*3</f>
        <v>6150000</v>
      </c>
      <c r="D43" s="30">
        <f>'Business B'!K10*3</f>
        <v>-3540000</v>
      </c>
      <c r="E43" s="30">
        <f>C43+D43</f>
        <v>2610000</v>
      </c>
      <c r="F43" s="30">
        <f>'Business B'!K12*3</f>
        <v>-1350000</v>
      </c>
      <c r="G43" s="46">
        <f>E43+F43</f>
        <v>1260000</v>
      </c>
    </row>
    <row r="44" spans="2:7" ht="15" customHeight="1">
      <c r="B44" s="2"/>
      <c r="C44" s="10"/>
      <c r="D44" s="10"/>
      <c r="E44" s="10"/>
      <c r="F44" s="10"/>
      <c r="G44" s="29"/>
    </row>
    <row r="45" spans="2:7" ht="15" customHeight="1">
      <c r="B45" s="43" t="s">
        <v>20</v>
      </c>
      <c r="C45" s="48">
        <f>C41-C43</f>
        <v>1344517.0749279289</v>
      </c>
      <c r="D45" s="48">
        <f>D41-D43</f>
        <v>-573533.52494534431</v>
      </c>
      <c r="E45" s="48">
        <f>E41-E43</f>
        <v>770983.54998258455</v>
      </c>
      <c r="F45" s="48">
        <f>F41-F43</f>
        <v>-143039.35968604661</v>
      </c>
      <c r="G45" s="48">
        <f>G41-G43</f>
        <v>627944.19029653794</v>
      </c>
    </row>
    <row r="46" spans="2:7" ht="15" customHeight="1">
      <c r="B46" s="2"/>
      <c r="C46" s="2"/>
      <c r="D46" s="2"/>
      <c r="E46" s="2"/>
      <c r="F46" s="2"/>
      <c r="G46" s="2"/>
    </row>
    <row r="47" spans="2:7" ht="16.149999999999999" customHeight="1">
      <c r="B47" s="25" t="s">
        <v>2</v>
      </c>
      <c r="C47" s="17"/>
      <c r="D47" s="17"/>
      <c r="E47" s="17"/>
      <c r="F47" s="17"/>
      <c r="G47" s="17"/>
    </row>
    <row r="48" spans="2:7" ht="15" customHeight="1">
      <c r="B48" s="40" t="s">
        <v>26</v>
      </c>
      <c r="C48" s="40" t="s">
        <v>8</v>
      </c>
      <c r="D48" s="40" t="s">
        <v>27</v>
      </c>
      <c r="E48" s="40" t="s">
        <v>10</v>
      </c>
      <c r="F48" s="40" t="s">
        <v>28</v>
      </c>
      <c r="G48" s="40" t="s">
        <v>12</v>
      </c>
    </row>
    <row r="49" spans="2:7" ht="15" customHeight="1">
      <c r="B49" s="32">
        <f t="shared" ref="B49:B60" si="14">B29</f>
        <v>46142</v>
      </c>
      <c r="C49" s="10">
        <f t="array" ref="C49:C52">TRANSPOSE('Business C'!E9:H9)</f>
        <v>165000</v>
      </c>
      <c r="D49" s="10">
        <f t="array" ref="D49:D52">TRANSPOSE('Business C'!E10:H10)</f>
        <v>-119000</v>
      </c>
      <c r="E49" s="10">
        <f t="shared" ref="E49:E52" si="15">SUM(C49:D49)</f>
        <v>46000</v>
      </c>
      <c r="F49" s="10">
        <f t="array" ref="F49:F52">TRANSPOSE('Business C'!E12:H12)</f>
        <v>-49000</v>
      </c>
      <c r="G49" s="10">
        <f t="shared" ref="G49:G52" si="16">SUM(E49:F49)</f>
        <v>-3000</v>
      </c>
    </row>
    <row r="50" spans="2:7" ht="15" customHeight="1">
      <c r="B50" s="32">
        <f t="shared" si="14"/>
        <v>46172</v>
      </c>
      <c r="C50" s="10">
        <v>170000</v>
      </c>
      <c r="D50" s="10">
        <v>-122000</v>
      </c>
      <c r="E50" s="10">
        <f t="shared" si="15"/>
        <v>48000</v>
      </c>
      <c r="F50" s="10">
        <v>-51000</v>
      </c>
      <c r="G50" s="10">
        <f t="shared" si="16"/>
        <v>-3000</v>
      </c>
    </row>
    <row r="51" spans="2:7" ht="15" customHeight="1">
      <c r="B51" s="32">
        <f t="shared" si="14"/>
        <v>46203</v>
      </c>
      <c r="C51" s="10">
        <v>176000</v>
      </c>
      <c r="D51" s="10">
        <v>-126000</v>
      </c>
      <c r="E51" s="10">
        <f t="shared" si="15"/>
        <v>50000</v>
      </c>
      <c r="F51" s="10">
        <v>-52000</v>
      </c>
      <c r="G51" s="10">
        <f t="shared" si="16"/>
        <v>-2000</v>
      </c>
    </row>
    <row r="52" spans="2:7" ht="15" customHeight="1">
      <c r="B52" s="32">
        <f t="shared" si="14"/>
        <v>46233</v>
      </c>
      <c r="C52" s="10">
        <v>179000</v>
      </c>
      <c r="D52" s="10">
        <v>-128000</v>
      </c>
      <c r="E52" s="10">
        <f t="shared" si="15"/>
        <v>51000</v>
      </c>
      <c r="F52" s="10">
        <v>-53000</v>
      </c>
      <c r="G52" s="10">
        <f t="shared" si="16"/>
        <v>-2000</v>
      </c>
    </row>
    <row r="53" spans="2:7" ht="15" customHeight="1">
      <c r="B53" s="38">
        <f t="shared" si="14"/>
        <v>46264</v>
      </c>
      <c r="C53" s="45">
        <f>_xlfn.FORECAST.ETS($B53,C$49:C$52,$B$49:$B$52,0)</f>
        <v>184160.69059575</v>
      </c>
      <c r="D53" s="45">
        <f>_xlfn.FORECAST.ETS($B53,D$49:D$52,$B$49:$B$52,0)</f>
        <v>-131288.13685521428</v>
      </c>
      <c r="E53" s="45">
        <f>SUM(C53:D53)</f>
        <v>52872.553740535717</v>
      </c>
      <c r="F53" s="45">
        <f>_xlfn.FORECAST.ETS($B53,F$49:F$52,$B$49:$B$52,0)</f>
        <v>-54361.363322142861</v>
      </c>
      <c r="G53" s="45">
        <f>SUM(E53:F53)</f>
        <v>-1488.8095816071436</v>
      </c>
    </row>
    <row r="54" spans="2:7" ht="15" customHeight="1">
      <c r="B54" s="33">
        <f t="shared" si="14"/>
        <v>46295</v>
      </c>
      <c r="C54" s="34">
        <f t="shared" ref="C54:D60" si="17">_xlfn.FORECAST.ETS($B54,C$49:C$52,$B$49:$B$52,0)</f>
        <v>188911.940378</v>
      </c>
      <c r="D54" s="34">
        <f t="shared" si="17"/>
        <v>-134360.13478314286</v>
      </c>
      <c r="E54" s="34">
        <f t="shared" ref="E54:E60" si="18">SUM(C54:D54)</f>
        <v>54551.805594857142</v>
      </c>
      <c r="F54" s="34">
        <f t="shared" ref="F54:F60" si="19">_xlfn.FORECAST.ETS($B54,F$49:F$52,$B$49:$B$52,0)</f>
        <v>-55647.941465714284</v>
      </c>
      <c r="G54" s="34">
        <f t="shared" ref="G54:G60" si="20">SUM(E54:F54)</f>
        <v>-1096.1358708571424</v>
      </c>
    </row>
    <row r="55" spans="2:7" ht="15" customHeight="1">
      <c r="B55" s="33">
        <f t="shared" si="14"/>
        <v>46325</v>
      </c>
      <c r="C55" s="34">
        <f t="shared" si="17"/>
        <v>193663.19016025</v>
      </c>
      <c r="D55" s="34">
        <f t="shared" si="17"/>
        <v>-137432.1327110714</v>
      </c>
      <c r="E55" s="34">
        <f t="shared" si="18"/>
        <v>56231.057449178596</v>
      </c>
      <c r="F55" s="34">
        <f t="shared" si="19"/>
        <v>-56934.519609285715</v>
      </c>
      <c r="G55" s="34">
        <f t="shared" si="20"/>
        <v>-703.46216010711942</v>
      </c>
    </row>
    <row r="56" spans="2:7" ht="15" customHeight="1">
      <c r="B56" s="33">
        <f t="shared" si="14"/>
        <v>46356</v>
      </c>
      <c r="C56" s="34">
        <f t="shared" si="17"/>
        <v>198414.4399425</v>
      </c>
      <c r="D56" s="34">
        <f t="shared" si="17"/>
        <v>-140504.13063899998</v>
      </c>
      <c r="E56" s="34">
        <f t="shared" si="18"/>
        <v>57910.30930350002</v>
      </c>
      <c r="F56" s="34">
        <f t="shared" si="19"/>
        <v>-58221.097752857146</v>
      </c>
      <c r="G56" s="34">
        <f t="shared" si="20"/>
        <v>-310.7884493571255</v>
      </c>
    </row>
    <row r="57" spans="2:7" ht="15" customHeight="1">
      <c r="B57" s="33">
        <f t="shared" si="14"/>
        <v>46386</v>
      </c>
      <c r="C57" s="34">
        <f t="shared" si="17"/>
        <v>203165.68972475</v>
      </c>
      <c r="D57" s="34">
        <f t="shared" si="17"/>
        <v>-143576.12856692856</v>
      </c>
      <c r="E57" s="34">
        <f t="shared" si="18"/>
        <v>59589.561157821445</v>
      </c>
      <c r="F57" s="34">
        <f t="shared" si="19"/>
        <v>-59507.675896428576</v>
      </c>
      <c r="G57" s="34">
        <f t="shared" si="20"/>
        <v>81.885261392868415</v>
      </c>
    </row>
    <row r="58" spans="2:7" ht="15" customHeight="1">
      <c r="B58" s="33">
        <f t="shared" si="14"/>
        <v>46417</v>
      </c>
      <c r="C58" s="34">
        <f t="shared" si="17"/>
        <v>207916.939507</v>
      </c>
      <c r="D58" s="34">
        <f t="shared" si="17"/>
        <v>-146648.12649485713</v>
      </c>
      <c r="E58" s="34">
        <f t="shared" si="18"/>
        <v>61268.813012142869</v>
      </c>
      <c r="F58" s="34">
        <f t="shared" si="19"/>
        <v>-60794.25404</v>
      </c>
      <c r="G58" s="34">
        <f t="shared" si="20"/>
        <v>474.55897214286961</v>
      </c>
    </row>
    <row r="59" spans="2:7" ht="15" customHeight="1">
      <c r="B59" s="33">
        <f t="shared" si="14"/>
        <v>46446</v>
      </c>
      <c r="C59" s="34">
        <f t="shared" si="17"/>
        <v>212361.65704523388</v>
      </c>
      <c r="D59" s="34">
        <f t="shared" si="17"/>
        <v>-149521.93100808063</v>
      </c>
      <c r="E59" s="34">
        <f t="shared" si="18"/>
        <v>62839.726037153247</v>
      </c>
      <c r="F59" s="34">
        <f t="shared" si="19"/>
        <v>-61997.827142050694</v>
      </c>
      <c r="G59" s="34">
        <f t="shared" si="20"/>
        <v>841.89889510255307</v>
      </c>
    </row>
    <row r="60" spans="2:7" ht="15" customHeight="1">
      <c r="B60" s="33">
        <f t="shared" si="14"/>
        <v>46474</v>
      </c>
      <c r="C60" s="34">
        <f t="shared" si="17"/>
        <v>217080.06408705359</v>
      </c>
      <c r="D60" s="34">
        <f t="shared" si="17"/>
        <v>-152572.69392729082</v>
      </c>
      <c r="E60" s="34">
        <f t="shared" si="18"/>
        <v>64507.370159762766</v>
      </c>
      <c r="F60" s="34">
        <f t="shared" si="19"/>
        <v>-63275.51188831633</v>
      </c>
      <c r="G60" s="34">
        <f t="shared" si="20"/>
        <v>1231.8582714464355</v>
      </c>
    </row>
    <row r="61" spans="2:7" ht="15" customHeight="1">
      <c r="B61" s="41" t="s">
        <v>29</v>
      </c>
      <c r="C61" s="47">
        <f>SUM(C49:C60)</f>
        <v>2295674.6114405375</v>
      </c>
      <c r="D61" s="47">
        <f>SUM(D49:D60)</f>
        <v>-1630903.4149855857</v>
      </c>
      <c r="E61" s="47">
        <f>C61+D61</f>
        <v>664771.19645495177</v>
      </c>
      <c r="F61" s="47">
        <f>SUM(F49:F60)</f>
        <v>-675740.19111679564</v>
      </c>
      <c r="G61" s="47">
        <f>E61+F61</f>
        <v>-10968.99466184387</v>
      </c>
    </row>
    <row r="62" spans="2:7" ht="15" customHeight="1">
      <c r="B62" s="28"/>
      <c r="C62" s="46"/>
      <c r="D62" s="46"/>
      <c r="E62" s="46"/>
      <c r="F62" s="46"/>
      <c r="G62" s="46"/>
    </row>
    <row r="63" spans="2:7" ht="15" customHeight="1">
      <c r="B63" s="28" t="s">
        <v>30</v>
      </c>
      <c r="C63" s="30">
        <f>'Business C'!K9*3</f>
        <v>2280000</v>
      </c>
      <c r="D63" s="30">
        <f>'Business C'!K10*3</f>
        <v>-1500000</v>
      </c>
      <c r="E63" s="30">
        <f>C63+D63</f>
        <v>780000</v>
      </c>
      <c r="F63" s="30">
        <f>'Business C'!K12*3</f>
        <v>-555000</v>
      </c>
      <c r="G63" s="46">
        <f>E63+F63</f>
        <v>225000</v>
      </c>
    </row>
    <row r="64" spans="2:7" ht="15" customHeight="1">
      <c r="B64" s="28"/>
      <c r="C64" s="30"/>
      <c r="D64" s="30"/>
      <c r="E64" s="30"/>
      <c r="F64" s="30"/>
      <c r="G64" s="46"/>
    </row>
    <row r="65" spans="2:10" ht="15" customHeight="1">
      <c r="B65" s="43" t="s">
        <v>20</v>
      </c>
      <c r="C65" s="48">
        <f>C61-C63</f>
        <v>15674.611440537497</v>
      </c>
      <c r="D65" s="48">
        <f>D61-D63</f>
        <v>-130903.41498558572</v>
      </c>
      <c r="E65" s="48">
        <f>E61-E63</f>
        <v>-115228.80354504823</v>
      </c>
      <c r="F65" s="48">
        <f>F61-F63</f>
        <v>-120740.19111679564</v>
      </c>
      <c r="G65" s="48">
        <f>G61-G63</f>
        <v>-235968.99466184387</v>
      </c>
    </row>
    <row r="66" spans="2:10" ht="15" customHeight="1">
      <c r="B66" s="2"/>
      <c r="C66" s="2"/>
      <c r="D66" s="2"/>
      <c r="E66" s="2"/>
      <c r="F66" s="2"/>
      <c r="G66" s="2"/>
    </row>
    <row r="67" spans="2:10" ht="16.149999999999999" customHeight="1">
      <c r="B67" s="25" t="s">
        <v>31</v>
      </c>
      <c r="C67" s="17"/>
      <c r="D67" s="17"/>
      <c r="E67" s="17"/>
      <c r="F67" s="17"/>
      <c r="G67" s="17"/>
    </row>
    <row r="68" spans="2:10" ht="15" customHeight="1">
      <c r="B68" s="40" t="s">
        <v>26</v>
      </c>
      <c r="C68" s="40" t="s">
        <v>8</v>
      </c>
      <c r="D68" s="40" t="s">
        <v>27</v>
      </c>
      <c r="E68" s="40" t="s">
        <v>10</v>
      </c>
      <c r="F68" s="40" t="s">
        <v>28</v>
      </c>
      <c r="G68" s="40" t="s">
        <v>12</v>
      </c>
      <c r="H68" s="51" t="s">
        <v>32</v>
      </c>
    </row>
    <row r="69" spans="2:10" ht="15" customHeight="1">
      <c r="B69" s="32">
        <f t="shared" ref="B69:B80" si="21">B49</f>
        <v>46142</v>
      </c>
      <c r="C69" s="10">
        <f t="shared" ref="C69:D80" si="22">C9+C29+C49</f>
        <v>1020000</v>
      </c>
      <c r="D69" s="10">
        <f t="shared" si="22"/>
        <v>-605000</v>
      </c>
      <c r="E69" s="10">
        <f t="shared" ref="E69:E81" si="23">C69+D69</f>
        <v>415000</v>
      </c>
      <c r="F69" s="10">
        <f t="shared" ref="F69:F80" si="24">F9+F29+F49</f>
        <v>-239000</v>
      </c>
      <c r="G69" s="29">
        <f t="shared" ref="G69:G81" si="25">E69+F69</f>
        <v>176000</v>
      </c>
    </row>
    <row r="70" spans="2:10" ht="15" customHeight="1">
      <c r="B70" s="32">
        <f t="shared" si="21"/>
        <v>46172</v>
      </c>
      <c r="C70" s="10">
        <f t="shared" si="22"/>
        <v>1047000</v>
      </c>
      <c r="D70" s="10">
        <f t="shared" si="22"/>
        <v>-619000</v>
      </c>
      <c r="E70" s="10">
        <f t="shared" si="23"/>
        <v>428000</v>
      </c>
      <c r="F70" s="10">
        <f t="shared" si="24"/>
        <v>-245000</v>
      </c>
      <c r="G70" s="29">
        <f t="shared" si="25"/>
        <v>183000</v>
      </c>
      <c r="H70" s="68">
        <f t="array" ref="H70:H80">IFERROR(C70:C80/C69:C79-1,0)</f>
        <v>2.6470588235294024E-2</v>
      </c>
      <c r="J70" s="68"/>
    </row>
    <row r="71" spans="2:10" ht="15" customHeight="1">
      <c r="B71" s="32">
        <f t="shared" si="21"/>
        <v>46203</v>
      </c>
      <c r="C71" s="10">
        <f t="shared" si="22"/>
        <v>1086000</v>
      </c>
      <c r="D71" s="10">
        <f t="shared" si="22"/>
        <v>-640000</v>
      </c>
      <c r="E71" s="10">
        <f t="shared" si="23"/>
        <v>446000</v>
      </c>
      <c r="F71" s="10">
        <f t="shared" si="24"/>
        <v>-251000</v>
      </c>
      <c r="G71" s="29">
        <f t="shared" si="25"/>
        <v>195000</v>
      </c>
      <c r="H71" s="68">
        <v>3.7249283667621702E-2</v>
      </c>
      <c r="J71" s="68"/>
    </row>
    <row r="72" spans="2:10" ht="15" customHeight="1">
      <c r="B72" s="32">
        <f t="shared" si="21"/>
        <v>46233</v>
      </c>
      <c r="C72" s="10">
        <f t="shared" si="22"/>
        <v>1105000</v>
      </c>
      <c r="D72" s="10">
        <f t="shared" si="22"/>
        <v>-649000</v>
      </c>
      <c r="E72" s="10">
        <f t="shared" si="23"/>
        <v>456000</v>
      </c>
      <c r="F72" s="10">
        <f t="shared" si="24"/>
        <v>-253000</v>
      </c>
      <c r="G72" s="29">
        <f t="shared" si="25"/>
        <v>203000</v>
      </c>
      <c r="H72" s="68">
        <v>1.7495395948434522E-2</v>
      </c>
      <c r="J72" s="68"/>
    </row>
    <row r="73" spans="2:10" ht="15" customHeight="1">
      <c r="B73" s="38">
        <f t="shared" si="21"/>
        <v>46264</v>
      </c>
      <c r="C73" s="45">
        <f t="shared" si="22"/>
        <v>1136738.4777454287</v>
      </c>
      <c r="D73" s="45">
        <f t="shared" si="22"/>
        <v>-665804.41606992856</v>
      </c>
      <c r="E73" s="45">
        <f t="shared" si="23"/>
        <v>470934.06167550012</v>
      </c>
      <c r="F73" s="45">
        <f t="shared" si="24"/>
        <v>-258394.62626728573</v>
      </c>
      <c r="G73" s="45">
        <f t="shared" si="25"/>
        <v>212539.4354082144</v>
      </c>
      <c r="H73" s="69">
        <v>2.8722604294505683E-2</v>
      </c>
      <c r="J73" s="68"/>
    </row>
    <row r="74" spans="2:10" ht="15" customHeight="1">
      <c r="B74" s="33">
        <f t="shared" si="21"/>
        <v>46295</v>
      </c>
      <c r="C74" s="34">
        <f t="shared" si="22"/>
        <v>1165884.2256132858</v>
      </c>
      <c r="D74" s="34">
        <f t="shared" si="22"/>
        <v>-680949.0750087857</v>
      </c>
      <c r="E74" s="34">
        <f t="shared" si="23"/>
        <v>484935.15060450009</v>
      </c>
      <c r="F74" s="34">
        <f t="shared" si="24"/>
        <v>-263111.59676799999</v>
      </c>
      <c r="G74" s="34">
        <f t="shared" si="25"/>
        <v>221823.5538365001</v>
      </c>
      <c r="H74" s="68">
        <v>2.5639800568433069E-2</v>
      </c>
      <c r="J74" s="68"/>
    </row>
    <row r="75" spans="2:10" ht="15" customHeight="1">
      <c r="B75" s="33">
        <f t="shared" si="21"/>
        <v>46325</v>
      </c>
      <c r="C75" s="34">
        <f t="shared" si="22"/>
        <v>1195029.9734811429</v>
      </c>
      <c r="D75" s="34">
        <f t="shared" si="22"/>
        <v>-696093.73394764285</v>
      </c>
      <c r="E75" s="34">
        <f t="shared" si="23"/>
        <v>498936.23953350005</v>
      </c>
      <c r="F75" s="34">
        <f t="shared" si="24"/>
        <v>-267828.56726871425</v>
      </c>
      <c r="G75" s="34">
        <f t="shared" si="25"/>
        <v>231107.6722647858</v>
      </c>
      <c r="H75" s="68">
        <v>2.4998835413975851E-2</v>
      </c>
      <c r="J75" s="68"/>
    </row>
    <row r="76" spans="2:10" ht="15" customHeight="1">
      <c r="B76" s="33">
        <f t="shared" si="21"/>
        <v>46356</v>
      </c>
      <c r="C76" s="34">
        <f t="shared" si="22"/>
        <v>1224175.721349</v>
      </c>
      <c r="D76" s="34">
        <f t="shared" si="22"/>
        <v>-711238.39288649999</v>
      </c>
      <c r="E76" s="34">
        <f t="shared" si="23"/>
        <v>512937.32846250001</v>
      </c>
      <c r="F76" s="34">
        <f t="shared" si="24"/>
        <v>-272545.53776942857</v>
      </c>
      <c r="G76" s="34">
        <f t="shared" si="25"/>
        <v>240391.79069307144</v>
      </c>
      <c r="H76" s="68">
        <v>2.438913543143606E-2</v>
      </c>
      <c r="J76" s="68"/>
    </row>
    <row r="77" spans="2:10" ht="15" customHeight="1">
      <c r="B77" s="33">
        <f t="shared" si="21"/>
        <v>46386</v>
      </c>
      <c r="C77" s="34">
        <f t="shared" si="22"/>
        <v>1253321.4692168571</v>
      </c>
      <c r="D77" s="34">
        <f t="shared" si="22"/>
        <v>-726383.05182535714</v>
      </c>
      <c r="E77" s="34">
        <f t="shared" si="23"/>
        <v>526938.41739149997</v>
      </c>
      <c r="F77" s="34">
        <f t="shared" si="24"/>
        <v>-277262.50827014283</v>
      </c>
      <c r="G77" s="34">
        <f t="shared" si="25"/>
        <v>249675.90912135714</v>
      </c>
      <c r="H77" s="68">
        <v>2.3808467493326324E-2</v>
      </c>
      <c r="J77" s="68"/>
    </row>
    <row r="78" spans="2:10" ht="15" customHeight="1">
      <c r="B78" s="33">
        <f t="shared" si="21"/>
        <v>46417</v>
      </c>
      <c r="C78" s="34">
        <f t="shared" si="22"/>
        <v>1282467.2170847142</v>
      </c>
      <c r="D78" s="34">
        <f t="shared" si="22"/>
        <v>-741527.71076421428</v>
      </c>
      <c r="E78" s="34">
        <f t="shared" si="23"/>
        <v>540939.50632049993</v>
      </c>
      <c r="F78" s="34">
        <f t="shared" si="24"/>
        <v>-281979.47877085709</v>
      </c>
      <c r="G78" s="34">
        <f t="shared" si="25"/>
        <v>258960.02754964284</v>
      </c>
      <c r="H78" s="68">
        <v>2.3254806195946554E-2</v>
      </c>
      <c r="J78" s="68"/>
    </row>
    <row r="79" spans="2:10" ht="15" customHeight="1">
      <c r="B79" s="33">
        <f t="shared" si="21"/>
        <v>46446</v>
      </c>
      <c r="C79" s="34">
        <f t="shared" si="22"/>
        <v>1309732.5941223875</v>
      </c>
      <c r="D79" s="34">
        <f t="shared" si="22"/>
        <v>-755695.29493282258</v>
      </c>
      <c r="E79" s="34">
        <f t="shared" si="23"/>
        <v>554037.29918956489</v>
      </c>
      <c r="F79" s="34">
        <f t="shared" si="24"/>
        <v>-286392.12859410595</v>
      </c>
      <c r="G79" s="34">
        <f t="shared" si="25"/>
        <v>267645.17059545894</v>
      </c>
      <c r="H79" s="68">
        <v>2.1260096690543406E-2</v>
      </c>
      <c r="J79" s="68"/>
    </row>
    <row r="80" spans="2:10" ht="15" customHeight="1">
      <c r="B80" s="33">
        <f t="shared" si="21"/>
        <v>46474</v>
      </c>
      <c r="C80" s="34">
        <f t="shared" si="22"/>
        <v>1338676.8736870103</v>
      </c>
      <c r="D80" s="34">
        <f t="shared" si="22"/>
        <v>-770735.26728915307</v>
      </c>
      <c r="E80" s="34">
        <f t="shared" si="23"/>
        <v>567941.60639785719</v>
      </c>
      <c r="F80" s="34">
        <f t="shared" si="24"/>
        <v>-291076.49330794899</v>
      </c>
      <c r="G80" s="34">
        <f t="shared" si="25"/>
        <v>276865.11308990821</v>
      </c>
      <c r="H80" s="68">
        <v>2.2099380968691129E-2</v>
      </c>
      <c r="J80" s="68"/>
    </row>
    <row r="81" spans="1:8" ht="15" customHeight="1">
      <c r="B81" s="41" t="s">
        <v>29</v>
      </c>
      <c r="C81" s="47">
        <f>SUM(C69:C80)</f>
        <v>14164026.552299827</v>
      </c>
      <c r="D81" s="47">
        <f>SUM(D69:D80)</f>
        <v>-8261426.9427244049</v>
      </c>
      <c r="E81" s="47">
        <f t="shared" si="23"/>
        <v>5902599.6095754225</v>
      </c>
      <c r="F81" s="47">
        <f>SUM(F69:F80)</f>
        <v>-3186590.9370164839</v>
      </c>
      <c r="G81" s="47">
        <f t="shared" si="25"/>
        <v>2716008.6725589386</v>
      </c>
    </row>
    <row r="82" spans="1:8" ht="15" customHeight="1">
      <c r="B82" s="28"/>
      <c r="C82" s="46"/>
      <c r="D82" s="46"/>
      <c r="E82" s="46"/>
      <c r="F82" s="46"/>
      <c r="G82" s="46"/>
    </row>
    <row r="83" spans="1:8" ht="15" customHeight="1">
      <c r="B83" s="28" t="s">
        <v>30</v>
      </c>
      <c r="C83" s="46">
        <f>C23+C43+C63</f>
        <v>12330000</v>
      </c>
      <c r="D83" s="46">
        <f>D23+D43+D63</f>
        <v>-7350000</v>
      </c>
      <c r="E83" s="46">
        <f>C83+D83</f>
        <v>4980000</v>
      </c>
      <c r="F83" s="46">
        <f>F23+F43+F63</f>
        <v>-2865000</v>
      </c>
      <c r="G83" s="46">
        <f>E83+F83</f>
        <v>2115000</v>
      </c>
    </row>
    <row r="84" spans="1:8" ht="15" customHeight="1">
      <c r="B84" s="28"/>
      <c r="C84" s="46"/>
      <c r="D84" s="46"/>
      <c r="E84" s="46"/>
      <c r="F84" s="46"/>
      <c r="G84" s="46"/>
    </row>
    <row r="85" spans="1:8" ht="15" customHeight="1">
      <c r="B85" s="43" t="s">
        <v>20</v>
      </c>
      <c r="C85" s="44">
        <f>C81-C83</f>
        <v>1834026.5522998273</v>
      </c>
      <c r="D85" s="44">
        <f>D81-D83</f>
        <v>-911426.94272440486</v>
      </c>
      <c r="E85" s="44">
        <f>E81-E83</f>
        <v>922599.60957542248</v>
      </c>
      <c r="F85" s="44">
        <f>F81-F83</f>
        <v>-321590.93701648386</v>
      </c>
      <c r="G85" s="48">
        <f>G81-G83</f>
        <v>601008.67255893862</v>
      </c>
    </row>
    <row r="86" spans="1:8" ht="15" customHeight="1">
      <c r="B86" s="49"/>
      <c r="C86" s="49"/>
      <c r="D86" s="49"/>
      <c r="E86" s="49"/>
      <c r="F86" s="49"/>
      <c r="G86" s="49"/>
    </row>
    <row r="87" spans="1:8" ht="30" customHeight="1">
      <c r="B87" s="88" t="s">
        <v>33</v>
      </c>
      <c r="C87" s="83"/>
      <c r="D87" s="83"/>
      <c r="E87" s="83"/>
      <c r="F87" s="83"/>
      <c r="G87" s="84"/>
    </row>
    <row r="88" spans="1:8">
      <c r="A88" s="81" t="s">
        <v>49</v>
      </c>
      <c r="B88" s="85" t="s">
        <v>50</v>
      </c>
      <c r="C88" s="86"/>
      <c r="D88" s="86"/>
      <c r="E88" s="86"/>
      <c r="F88" s="86"/>
      <c r="G88" s="86"/>
      <c r="H88" s="87"/>
    </row>
    <row r="89" spans="1:8" ht="30" customHeight="1">
      <c r="A89" s="81" t="s">
        <v>49</v>
      </c>
      <c r="B89" s="85" t="s">
        <v>51</v>
      </c>
      <c r="C89" s="86"/>
      <c r="D89" s="86"/>
      <c r="E89" s="86"/>
      <c r="F89" s="86"/>
      <c r="G89" s="86"/>
      <c r="H89" s="87"/>
    </row>
    <row r="90" spans="1:8" ht="30" customHeight="1">
      <c r="A90" s="81" t="s">
        <v>49</v>
      </c>
      <c r="B90" s="85" t="s">
        <v>52</v>
      </c>
      <c r="C90" s="86"/>
      <c r="D90" s="86"/>
      <c r="E90" s="86"/>
      <c r="F90" s="86"/>
      <c r="G90" s="86"/>
      <c r="H90" s="87"/>
    </row>
    <row r="91" spans="1:8" ht="30" customHeight="1">
      <c r="A91" s="81" t="s">
        <v>49</v>
      </c>
      <c r="B91" s="85" t="s">
        <v>53</v>
      </c>
      <c r="C91" s="86"/>
      <c r="D91" s="86"/>
      <c r="E91" s="86"/>
      <c r="F91" s="86"/>
      <c r="G91" s="86"/>
      <c r="H91" s="87"/>
    </row>
  </sheetData>
  <mergeCells count="5">
    <mergeCell ref="B87:G87"/>
    <mergeCell ref="B88:H88"/>
    <mergeCell ref="B89:H89"/>
    <mergeCell ref="B90:H90"/>
    <mergeCell ref="B91:H9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U40"/>
  <sheetViews>
    <sheetView showGridLines="0" workbookViewId="0">
      <pane ySplit="5" topLeftCell="A6" activePane="bottomLeft" state="frozen"/>
      <selection pane="bottomLeft" activeCell="F46" sqref="F46"/>
    </sheetView>
  </sheetViews>
  <sheetFormatPr defaultRowHeight="15"/>
  <cols>
    <col min="1" max="1" width="2" customWidth="1"/>
    <col min="2" max="14" width="14" customWidth="1"/>
    <col min="16" max="21" width="13" customWidth="1"/>
  </cols>
  <sheetData>
    <row r="1" spans="2:21" ht="20.100000000000001" customHeight="1">
      <c r="P1" t="s">
        <v>26</v>
      </c>
      <c r="Q1" t="s">
        <v>8</v>
      </c>
      <c r="R1" t="s">
        <v>12</v>
      </c>
    </row>
    <row r="2" spans="2:21" ht="30" customHeight="1">
      <c r="B2" s="89" t="s">
        <v>34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P2" s="70">
        <f>'Week 2 Forecast'!B69</f>
        <v>46142</v>
      </c>
      <c r="Q2" s="70">
        <f>'Week 2 Forecast'!C69</f>
        <v>1020000</v>
      </c>
      <c r="R2" s="70">
        <f>'Week 2 Forecast'!G69</f>
        <v>176000</v>
      </c>
      <c r="S2" t="s">
        <v>0</v>
      </c>
      <c r="T2" s="70">
        <f>'Week 2 Forecast'!G21</f>
        <v>839033.4769242449</v>
      </c>
      <c r="U2" s="70">
        <f>'Week 2 Forecast'!G23</f>
        <v>630000</v>
      </c>
    </row>
    <row r="3" spans="2:21" ht="20.100000000000001" customHeight="1">
      <c r="B3" s="95" t="s">
        <v>35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P3" s="70">
        <f>'Week 2 Forecast'!B70</f>
        <v>46172</v>
      </c>
      <c r="Q3" s="70">
        <f>'Week 2 Forecast'!C70</f>
        <v>1047000</v>
      </c>
      <c r="R3" s="70">
        <f>'Week 2 Forecast'!G70</f>
        <v>183000</v>
      </c>
      <c r="S3" t="s">
        <v>1</v>
      </c>
      <c r="T3" s="70">
        <f>'Week 2 Forecast'!G41</f>
        <v>1887944.1902965379</v>
      </c>
      <c r="U3" s="70">
        <f>'Week 2 Forecast'!G43</f>
        <v>1260000</v>
      </c>
    </row>
    <row r="4" spans="2:21" ht="20.100000000000001" customHeight="1">
      <c r="P4" s="70">
        <f>'Week 2 Forecast'!B71</f>
        <v>46203</v>
      </c>
      <c r="Q4" s="70">
        <f>'Week 2 Forecast'!C71</f>
        <v>1086000</v>
      </c>
      <c r="R4" s="70">
        <f>'Week 2 Forecast'!G71</f>
        <v>195000</v>
      </c>
      <c r="S4" t="s">
        <v>2</v>
      </c>
      <c r="T4" s="70">
        <f>'Week 2 Forecast'!G61</f>
        <v>-10968.99466184387</v>
      </c>
      <c r="U4" s="70">
        <f>'Week 2 Forecast'!G63</f>
        <v>225000</v>
      </c>
    </row>
    <row r="5" spans="2:21" ht="20.100000000000001" customHeight="1">
      <c r="B5" s="93" t="s">
        <v>36</v>
      </c>
      <c r="C5" s="92"/>
      <c r="D5" s="92"/>
      <c r="E5" s="93" t="s">
        <v>37</v>
      </c>
      <c r="F5" s="92"/>
      <c r="G5" s="92"/>
      <c r="H5" s="93" t="s">
        <v>38</v>
      </c>
      <c r="I5" s="92"/>
      <c r="J5" s="92"/>
      <c r="K5" s="93" t="s">
        <v>39</v>
      </c>
      <c r="L5" s="92"/>
      <c r="M5" s="92"/>
      <c r="N5" s="92"/>
      <c r="P5" s="70">
        <f>'Week 2 Forecast'!B72</f>
        <v>46233</v>
      </c>
      <c r="Q5" s="70">
        <f>'Week 2 Forecast'!C72</f>
        <v>1105000</v>
      </c>
      <c r="R5" s="70">
        <f>'Week 2 Forecast'!G72</f>
        <v>203000</v>
      </c>
      <c r="S5" t="s">
        <v>31</v>
      </c>
      <c r="T5" s="70">
        <f>'Week 2 Forecast'!G81</f>
        <v>2716008.6725589386</v>
      </c>
      <c r="U5" s="70">
        <f>'Week 2 Forecast'!G83</f>
        <v>2115000</v>
      </c>
    </row>
    <row r="6" spans="2:21" ht="8.1" customHeight="1">
      <c r="B6" s="91">
        <f>'Week 2 Forecast'!C81</f>
        <v>14164026.552299827</v>
      </c>
      <c r="C6" s="92"/>
      <c r="D6" s="92"/>
      <c r="E6" s="91">
        <f>'Week 2 Forecast'!G81</f>
        <v>2716008.6725589386</v>
      </c>
      <c r="F6" s="92"/>
      <c r="G6" s="92"/>
      <c r="H6" s="97">
        <f>'Week 2 Forecast'!G81/'Week 2 Forecast'!C81</f>
        <v>0.19175399470837179</v>
      </c>
      <c r="I6" s="92"/>
      <c r="J6" s="92"/>
      <c r="K6" s="91">
        <f>'Group Consolidation'!M13</f>
        <v>52000</v>
      </c>
      <c r="L6" s="92"/>
      <c r="M6" s="92"/>
      <c r="N6" s="92"/>
      <c r="P6" s="70">
        <f>'Week 2 Forecast'!B73</f>
        <v>46264</v>
      </c>
      <c r="Q6" s="70">
        <f>'Week 2 Forecast'!C73</f>
        <v>1136738.4777454287</v>
      </c>
      <c r="R6" s="70">
        <f>'Week 2 Forecast'!G73</f>
        <v>212539.4354082144</v>
      </c>
    </row>
    <row r="7" spans="2:21" ht="20.100000000000001" customHeight="1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P7" s="70">
        <f>'Week 2 Forecast'!B74</f>
        <v>46295</v>
      </c>
      <c r="Q7" s="70">
        <f>'Week 2 Forecast'!C74</f>
        <v>1165884.2256132858</v>
      </c>
      <c r="R7" s="70">
        <f>'Week 2 Forecast'!G74</f>
        <v>221823.5538365001</v>
      </c>
    </row>
    <row r="8" spans="2:21" ht="20.100000000000001" customHeight="1">
      <c r="B8" s="96" t="str">
        <f>"vs budget "&amp;TEXT('Week 2 Forecast'!C85/'Week 2 Forecast'!C83,"+0.0%;-0.0%")&amp;" ("&amp;TEXT('Week 2 Forecast'!C85/1000,"+#,##0;(#,##0)")&amp;"K)"</f>
        <v>vs budget +14.9% (+1,834K)</v>
      </c>
      <c r="C8" s="92"/>
      <c r="D8" s="92"/>
      <c r="E8" s="96" t="str">
        <f>"vs budget "&amp;TEXT('Week 2 Forecast'!G85/'Week 2 Forecast'!G83,"+0.0%;-0.0%")&amp;" ("&amp;TEXT('Week 2 Forecast'!G85/1000,"+#,##0;(#,##0)")&amp;"K)"</f>
        <v>vs budget +28.4% (+601K)</v>
      </c>
      <c r="F8" s="92"/>
      <c r="G8" s="92"/>
      <c r="H8" s="96" t="str">
        <f>"vs YTD margin "&amp;TEXT('Group Consolidation'!J13/'Group Consolidation'!J9,"0.0%")</f>
        <v>vs YTD margin 17.8%</v>
      </c>
      <c r="I8" s="92"/>
      <c r="J8" s="92"/>
      <c r="K8" s="96" t="str">
        <f>"Actual "&amp;TEXT('Group Consolidation'!J13,"#,##0")&amp;" vs budget "&amp;TEXT('Group Consolidation'!K13,"#,##0")</f>
        <v>Actual 7,57,000 vs budget 7,05,000</v>
      </c>
      <c r="L8" s="92"/>
      <c r="M8" s="92"/>
      <c r="N8" s="92"/>
      <c r="P8" s="70">
        <f>'Week 2 Forecast'!B75</f>
        <v>46325</v>
      </c>
      <c r="Q8" s="70">
        <f>'Week 2 Forecast'!C75</f>
        <v>1195029.9734811429</v>
      </c>
      <c r="R8" s="70">
        <f>'Week 2 Forecast'!G75</f>
        <v>231107.6722647858</v>
      </c>
    </row>
    <row r="9" spans="2:21" ht="20.100000000000001" customHeight="1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P9" s="70">
        <f>'Week 2 Forecast'!B76</f>
        <v>46356</v>
      </c>
      <c r="Q9" s="70">
        <f>'Week 2 Forecast'!C76</f>
        <v>1224175.721349</v>
      </c>
      <c r="R9" s="70">
        <f>'Week 2 Forecast'!G76</f>
        <v>240391.79069307144</v>
      </c>
    </row>
    <row r="10" spans="2:21" ht="20.100000000000001" customHeight="1">
      <c r="P10" s="70">
        <f>'Week 2 Forecast'!B77</f>
        <v>46386</v>
      </c>
      <c r="Q10" s="70">
        <f>'Week 2 Forecast'!C77</f>
        <v>1253321.4692168571</v>
      </c>
      <c r="R10" s="70">
        <f>'Week 2 Forecast'!G77</f>
        <v>249675.90912135714</v>
      </c>
    </row>
    <row r="11" spans="2:21" ht="20.100000000000001" customHeight="1">
      <c r="B11" s="99" t="s">
        <v>40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P11" s="70">
        <f>'Week 2 Forecast'!B78</f>
        <v>46417</v>
      </c>
      <c r="Q11" s="70">
        <f>'Week 2 Forecast'!C78</f>
        <v>1282467.2170847142</v>
      </c>
      <c r="R11" s="70">
        <f>'Week 2 Forecast'!G78</f>
        <v>258960.02754964284</v>
      </c>
    </row>
    <row r="12" spans="2:21" ht="20.100000000000001" customHeight="1">
      <c r="B12" s="71" t="s">
        <v>41</v>
      </c>
      <c r="C12" s="71" t="s">
        <v>42</v>
      </c>
      <c r="D12" s="71" t="s">
        <v>43</v>
      </c>
      <c r="E12" s="71" t="s">
        <v>44</v>
      </c>
      <c r="F12" s="71" t="s">
        <v>20</v>
      </c>
      <c r="G12" s="71" t="s">
        <v>45</v>
      </c>
      <c r="P12" s="70">
        <f>'Week 2 Forecast'!B79</f>
        <v>46446</v>
      </c>
      <c r="Q12" s="70">
        <f>'Week 2 Forecast'!C79</f>
        <v>1309732.5941223875</v>
      </c>
      <c r="R12" s="70">
        <f>'Week 2 Forecast'!G79</f>
        <v>267645.17059545894</v>
      </c>
    </row>
    <row r="13" spans="2:21" ht="20.100000000000001" customHeight="1">
      <c r="B13" s="72" t="s">
        <v>0</v>
      </c>
      <c r="C13" s="73">
        <f>SUM('Week 2 Forecast'!G9:G12)</f>
        <v>217000</v>
      </c>
      <c r="D13" s="73">
        <f>'Week 2 Forecast'!G21</f>
        <v>839033.4769242449</v>
      </c>
      <c r="E13" s="73">
        <f>'Week 2 Forecast'!G23</f>
        <v>630000</v>
      </c>
      <c r="F13" s="73">
        <f>D13-E13</f>
        <v>209033.4769242449</v>
      </c>
      <c r="G13" s="73" t="str">
        <f>IF(F13&gt;=0,"Favorable","Unfavorable")</f>
        <v>Favorable</v>
      </c>
      <c r="P13" s="70">
        <f>'Week 2 Forecast'!B80</f>
        <v>46474</v>
      </c>
      <c r="Q13" s="70">
        <f>'Week 2 Forecast'!C80</f>
        <v>1338676.8736870103</v>
      </c>
      <c r="R13" s="70">
        <f>'Week 2 Forecast'!G80</f>
        <v>276865.11308990821</v>
      </c>
    </row>
    <row r="14" spans="2:21" ht="20.100000000000001" customHeight="1">
      <c r="B14" s="72" t="s">
        <v>1</v>
      </c>
      <c r="C14" s="73">
        <f>SUM('Week 2 Forecast'!G29:G32)</f>
        <v>550000</v>
      </c>
      <c r="D14" s="73">
        <f>'Week 2 Forecast'!G41</f>
        <v>1887944.1902965379</v>
      </c>
      <c r="E14" s="73">
        <f>'Week 2 Forecast'!G43</f>
        <v>1260000</v>
      </c>
      <c r="F14" s="73">
        <f>D14-E14</f>
        <v>627944.19029653794</v>
      </c>
      <c r="G14" s="73" t="str">
        <f>IF(F14&gt;=0,"Favorable","Unfavorable")</f>
        <v>Favorable</v>
      </c>
    </row>
    <row r="15" spans="2:21" ht="20.100000000000001" customHeight="1">
      <c r="B15" s="72" t="s">
        <v>2</v>
      </c>
      <c r="C15" s="73">
        <f>SUM('Week 2 Forecast'!G49:G52)</f>
        <v>-10000</v>
      </c>
      <c r="D15" s="73">
        <f>'Week 2 Forecast'!G61</f>
        <v>-10968.99466184387</v>
      </c>
      <c r="E15" s="73">
        <f>'Week 2 Forecast'!G63</f>
        <v>225000</v>
      </c>
      <c r="F15" s="73">
        <f>D15-E15</f>
        <v>-235968.99466184387</v>
      </c>
      <c r="G15" s="73" t="str">
        <f>IF(F15&gt;=0,"Favorable","Unfavorable")</f>
        <v>Unfavorable</v>
      </c>
    </row>
    <row r="16" spans="2:21" ht="20.100000000000001" customHeight="1">
      <c r="B16" s="74" t="s">
        <v>31</v>
      </c>
      <c r="C16" s="75">
        <f>'Group Consolidation'!J13</f>
        <v>757000</v>
      </c>
      <c r="D16" s="75">
        <f>'Week 2 Forecast'!G81</f>
        <v>2716008.6725589386</v>
      </c>
      <c r="E16" s="75">
        <f>'Week 2 Forecast'!G83</f>
        <v>2115000</v>
      </c>
      <c r="F16" s="75">
        <f>D16-E16</f>
        <v>601008.67255893862</v>
      </c>
      <c r="G16" s="75" t="str">
        <f>IF(F16&gt;=0,"Favorable","Unfavorable")</f>
        <v>Favorable</v>
      </c>
    </row>
    <row r="17" spans="2:14" ht="20.100000000000001" customHeight="1"/>
    <row r="18" spans="2:14" ht="20.100000000000001" customHeight="1">
      <c r="B18" s="94" t="s">
        <v>46</v>
      </c>
      <c r="C18" s="90"/>
      <c r="D18" s="90"/>
      <c r="E18" s="90"/>
      <c r="F18" s="90"/>
      <c r="G18" s="90"/>
      <c r="H18" s="94" t="s">
        <v>47</v>
      </c>
      <c r="I18" s="90"/>
      <c r="J18" s="90"/>
      <c r="K18" s="90"/>
      <c r="L18" s="90"/>
      <c r="M18" s="90"/>
      <c r="N18" s="90"/>
    </row>
    <row r="19" spans="2:14" ht="20.100000000000001" customHeight="1"/>
    <row r="20" spans="2:14" ht="20.100000000000001" customHeight="1"/>
    <row r="21" spans="2:14" ht="20.100000000000001" customHeight="1"/>
    <row r="22" spans="2:14" ht="20.100000000000001" customHeight="1"/>
    <row r="23" spans="2:14" ht="20.100000000000001" customHeight="1"/>
    <row r="24" spans="2:14" ht="20.100000000000001" customHeight="1"/>
    <row r="25" spans="2:14" ht="20.100000000000001" customHeight="1"/>
    <row r="26" spans="2:14" ht="20.100000000000001" customHeight="1"/>
    <row r="27" spans="2:14" ht="20.100000000000001" customHeight="1"/>
    <row r="28" spans="2:14" ht="20.100000000000001" customHeight="1"/>
    <row r="29" spans="2:14" ht="20.100000000000001" customHeight="1"/>
    <row r="30" spans="2:14" ht="20.100000000000001" customHeight="1"/>
    <row r="31" spans="2:14" ht="20.100000000000001" customHeight="1"/>
    <row r="32" spans="2:14" ht="20.100000000000001" customHeight="1"/>
    <row r="33" spans="1:14" ht="20.100000000000001" customHeight="1"/>
    <row r="34" spans="1:14" ht="20.100000000000001" customHeight="1">
      <c r="B34" s="100" t="s">
        <v>48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</row>
    <row r="35" spans="1:14">
      <c r="A35" s="80" t="s">
        <v>49</v>
      </c>
      <c r="B35" s="107" t="s">
        <v>60</v>
      </c>
      <c r="C35" s="108"/>
      <c r="D35" s="108"/>
      <c r="E35" s="108"/>
      <c r="F35" s="108"/>
      <c r="G35" s="108"/>
      <c r="H35" s="108"/>
      <c r="I35" s="108"/>
      <c r="J35" s="108"/>
      <c r="K35" s="109"/>
    </row>
    <row r="36" spans="1:14">
      <c r="A36" s="80" t="s">
        <v>49</v>
      </c>
      <c r="B36" s="107" t="s">
        <v>61</v>
      </c>
      <c r="C36" s="108"/>
      <c r="D36" s="108"/>
      <c r="E36" s="108"/>
      <c r="F36" s="108"/>
      <c r="G36" s="108"/>
      <c r="H36" s="108"/>
      <c r="I36" s="108"/>
      <c r="J36" s="108"/>
      <c r="K36" s="109"/>
    </row>
    <row r="37" spans="1:14">
      <c r="A37" s="80" t="s">
        <v>49</v>
      </c>
      <c r="B37" s="107" t="s">
        <v>62</v>
      </c>
      <c r="C37" s="108"/>
      <c r="D37" s="108"/>
      <c r="E37" s="108"/>
      <c r="F37" s="108"/>
      <c r="G37" s="108"/>
      <c r="H37" s="108"/>
      <c r="I37" s="108"/>
      <c r="J37" s="108"/>
      <c r="K37" s="109"/>
    </row>
    <row r="38" spans="1:14">
      <c r="A38" s="80" t="s">
        <v>49</v>
      </c>
      <c r="B38" s="107" t="s">
        <v>63</v>
      </c>
      <c r="C38" s="108"/>
      <c r="D38" s="108"/>
      <c r="E38" s="108"/>
      <c r="F38" s="108"/>
      <c r="G38" s="108"/>
      <c r="H38" s="108"/>
      <c r="I38" s="108"/>
      <c r="J38" s="108"/>
      <c r="K38" s="109"/>
    </row>
    <row r="39" spans="1:14">
      <c r="A39" s="80" t="s">
        <v>49</v>
      </c>
      <c r="B39" s="107" t="s">
        <v>64</v>
      </c>
      <c r="C39" s="108"/>
      <c r="D39" s="108"/>
      <c r="E39" s="108"/>
      <c r="F39" s="108"/>
      <c r="G39" s="108"/>
      <c r="H39" s="108"/>
      <c r="I39" s="108"/>
      <c r="J39" s="108"/>
      <c r="K39" s="109"/>
    </row>
    <row r="40" spans="1:14">
      <c r="B40" s="9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</row>
  </sheetData>
  <mergeCells count="24">
    <mergeCell ref="B40:N40"/>
    <mergeCell ref="H8:J9"/>
    <mergeCell ref="H18:N18"/>
    <mergeCell ref="E8:G9"/>
    <mergeCell ref="B11:N11"/>
    <mergeCell ref="B34:N34"/>
    <mergeCell ref="B35:K35"/>
    <mergeCell ref="B36:K36"/>
    <mergeCell ref="B37:K37"/>
    <mergeCell ref="B38:K38"/>
    <mergeCell ref="B39:K39"/>
    <mergeCell ref="B2:N2"/>
    <mergeCell ref="E6:G7"/>
    <mergeCell ref="B6:D7"/>
    <mergeCell ref="E5:G5"/>
    <mergeCell ref="B18:G18"/>
    <mergeCell ref="K6:N7"/>
    <mergeCell ref="B3:N3"/>
    <mergeCell ref="K5:N5"/>
    <mergeCell ref="B8:D9"/>
    <mergeCell ref="H6:J7"/>
    <mergeCell ref="B5:D5"/>
    <mergeCell ref="K8:N9"/>
    <mergeCell ref="H5:J5"/>
  </mergeCells>
  <conditionalFormatting sqref="G13:G16">
    <cfRule type="cellIs" dxfId="1" priority="1" operator="equal">
      <formula>"Favorable"</formula>
    </cfRule>
    <cfRule type="cellIs" dxfId="0" priority="2" operator="equal">
      <formula>"Unfavorable"</formula>
    </cfRule>
  </conditionalFormatting>
  <pageMargins left="0.2" right="0.2" top="0.25" bottom="0.25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Business A</vt:lpstr>
      <vt:lpstr>Business B</vt:lpstr>
      <vt:lpstr>Business C</vt:lpstr>
      <vt:lpstr>Group Consolidation</vt:lpstr>
      <vt:lpstr>Week 2 Forecast</vt:lpstr>
      <vt:lpstr>Week 3 Dashboard</vt:lpstr>
      <vt:lpstr>'Business A'!Print_Area</vt:lpstr>
      <vt:lpstr>'Business B'!Print_Area</vt:lpstr>
      <vt:lpstr>'Business C'!Print_Area</vt:lpstr>
      <vt:lpstr>'Group Consolidation'!Print_Area</vt:lpstr>
      <vt:lpstr>'Week 3 Dashboard'!Print_Area</vt:lpstr>
      <vt:lpstr>'Business A'!Print_Titles</vt:lpstr>
      <vt:lpstr>'Business B'!Print_Titles</vt:lpstr>
      <vt:lpstr>'Business C'!Print_Titles</vt:lpstr>
      <vt:lpstr>'Group Consolidation'!Print_Titles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c2c</dc:creator>
  <cp:lastModifiedBy>c2c</cp:lastModifiedBy>
  <dcterms:created xsi:type="dcterms:W3CDTF">1899-12-29T22:00:00Z</dcterms:created>
  <dcterms:modified xsi:type="dcterms:W3CDTF">2026-09-11T17:43:24Z</dcterms:modified>
</cp:coreProperties>
</file>